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2F86FCB6-AEA2-4493-8747-5185BEF5F9B2}" xr6:coauthVersionLast="47" xr6:coauthVersionMax="47" xr10:uidLastSave="{00000000-0000-0000-0000-000000000000}"/>
  <bookViews>
    <workbookView xWindow="240" yWindow="105" windowWidth="14805" windowHeight="8010" firstSheet="15" activeTab="15" xr2:uid="{00000000-000D-0000-FFFF-FFFF00000000}"/>
  </bookViews>
  <sheets>
    <sheet name="November 2024" sheetId="3" r:id="rId1"/>
    <sheet name="December 2024" sheetId="1" r:id="rId2"/>
    <sheet name="Sheet2" sheetId="2" state="hidden" r:id="rId3"/>
    <sheet name="January 2025" sheetId="5" r:id="rId4"/>
    <sheet name="February 2025" sheetId="4" r:id="rId5"/>
    <sheet name="March 2025" sheetId="6" r:id="rId6"/>
    <sheet name="April 2025" sheetId="7" r:id="rId7"/>
    <sheet name="May 2025 " sheetId="8" r:id="rId8"/>
    <sheet name="June 2025" sheetId="9" r:id="rId9"/>
    <sheet name="July 2025" sheetId="10" r:id="rId10"/>
    <sheet name="August 2025" sheetId="11" r:id="rId11"/>
    <sheet name="Sheet3" sheetId="15" r:id="rId12"/>
    <sheet name="September 2025" sheetId="13" r:id="rId13"/>
    <sheet name="February 2026" sheetId="14" r:id="rId14"/>
    <sheet name="March 2026" sheetId="16" r:id="rId15"/>
    <sheet name="April 2026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7" l="1"/>
  <c r="J113" i="17"/>
  <c r="K21" i="17"/>
  <c r="L19" i="17"/>
  <c r="M19" i="17" s="1"/>
  <c r="L18" i="17"/>
  <c r="M18" i="17" s="1"/>
  <c r="L17" i="17"/>
  <c r="M17" i="17" s="1"/>
  <c r="L16" i="17"/>
  <c r="M16" i="17" s="1"/>
  <c r="L15" i="17"/>
  <c r="M15" i="17" s="1"/>
  <c r="L14" i="17"/>
  <c r="M14" i="17" s="1"/>
  <c r="L13" i="17"/>
  <c r="M13" i="17" s="1"/>
  <c r="L12" i="17"/>
  <c r="M12" i="17" s="1"/>
  <c r="L11" i="17"/>
  <c r="M11" i="17" s="1"/>
  <c r="G11" i="17"/>
  <c r="H11" i="17" s="1"/>
  <c r="L10" i="17"/>
  <c r="M10" i="17" s="1"/>
  <c r="G10" i="17"/>
  <c r="H10" i="17" s="1"/>
  <c r="L9" i="17"/>
  <c r="M9" i="17" s="1"/>
  <c r="G9" i="17"/>
  <c r="H9" i="17" s="1"/>
  <c r="L8" i="17"/>
  <c r="M8" i="17" s="1"/>
  <c r="L7" i="17"/>
  <c r="M7" i="17" s="1"/>
  <c r="G7" i="17"/>
  <c r="H7" i="17" s="1"/>
  <c r="L6" i="17"/>
  <c r="M6" i="17" s="1"/>
  <c r="G6" i="17"/>
  <c r="H6" i="17" s="1"/>
  <c r="L5" i="17"/>
  <c r="M5" i="17" s="1"/>
  <c r="G5" i="17"/>
  <c r="H5" i="17" s="1"/>
  <c r="L4" i="17"/>
  <c r="M4" i="17" s="1"/>
  <c r="G4" i="17"/>
  <c r="H4" i="17" s="1"/>
  <c r="L3" i="17"/>
  <c r="M3" i="17" s="1"/>
  <c r="G3" i="17"/>
  <c r="H3" i="17" s="1"/>
  <c r="L2" i="17"/>
  <c r="M2" i="17" s="1"/>
  <c r="G2" i="17"/>
  <c r="H2" i="17" s="1"/>
  <c r="B2" i="17"/>
  <c r="A2" i="17"/>
  <c r="F8" i="17" s="1"/>
  <c r="J113" i="16"/>
  <c r="B2" i="16"/>
  <c r="L19" i="16"/>
  <c r="L11" i="16"/>
  <c r="L14" i="16"/>
  <c r="L9" i="16"/>
  <c r="K21" i="16"/>
  <c r="M19" i="16"/>
  <c r="L18" i="16"/>
  <c r="M18" i="16" s="1"/>
  <c r="L17" i="16"/>
  <c r="M17" i="16" s="1"/>
  <c r="L16" i="16"/>
  <c r="M16" i="16" s="1"/>
  <c r="L15" i="16"/>
  <c r="M15" i="16" s="1"/>
  <c r="M14" i="16"/>
  <c r="L13" i="16"/>
  <c r="M13" i="16" s="1"/>
  <c r="L12" i="16"/>
  <c r="M12" i="16" s="1"/>
  <c r="M11" i="16"/>
  <c r="G11" i="16"/>
  <c r="H11" i="16" s="1"/>
  <c r="L10" i="16"/>
  <c r="M10" i="16" s="1"/>
  <c r="G10" i="16"/>
  <c r="H10" i="16" s="1"/>
  <c r="M9" i="16"/>
  <c r="G9" i="16"/>
  <c r="H9" i="16" s="1"/>
  <c r="L8" i="16"/>
  <c r="M8" i="16" s="1"/>
  <c r="L7" i="16"/>
  <c r="M7" i="16" s="1"/>
  <c r="G7" i="16"/>
  <c r="H7" i="16" s="1"/>
  <c r="L6" i="16"/>
  <c r="M6" i="16" s="1"/>
  <c r="G6" i="16"/>
  <c r="H6" i="16" s="1"/>
  <c r="L5" i="16"/>
  <c r="M5" i="16" s="1"/>
  <c r="G5" i="16"/>
  <c r="H5" i="16" s="1"/>
  <c r="L4" i="16"/>
  <c r="M4" i="16" s="1"/>
  <c r="G4" i="16"/>
  <c r="H4" i="16" s="1"/>
  <c r="L3" i="16"/>
  <c r="M3" i="16" s="1"/>
  <c r="G3" i="16"/>
  <c r="H3" i="16" s="1"/>
  <c r="L2" i="16"/>
  <c r="M2" i="16" s="1"/>
  <c r="G2" i="16"/>
  <c r="H2" i="16" s="1"/>
  <c r="A2" i="16"/>
  <c r="F8" i="16" s="1"/>
  <c r="C120" i="14"/>
  <c r="L9" i="14"/>
  <c r="L14" i="14"/>
  <c r="B2" i="14"/>
  <c r="K21" i="14"/>
  <c r="A2" i="14"/>
  <c r="F8" i="14"/>
  <c r="F13" i="14"/>
  <c r="C2" i="14"/>
  <c r="L19" i="14"/>
  <c r="M19" i="14"/>
  <c r="L18" i="14"/>
  <c r="M18" i="14"/>
  <c r="L10" i="14"/>
  <c r="G2" i="14"/>
  <c r="G3" i="14"/>
  <c r="G4" i="14"/>
  <c r="G5" i="14"/>
  <c r="G6" i="14"/>
  <c r="G7" i="14"/>
  <c r="G9" i="14"/>
  <c r="G10" i="14"/>
  <c r="G11" i="14"/>
  <c r="L2" i="14"/>
  <c r="L3" i="14"/>
  <c r="L4" i="14"/>
  <c r="L5" i="14"/>
  <c r="L6" i="14"/>
  <c r="L7" i="14"/>
  <c r="L8" i="14"/>
  <c r="L11" i="14"/>
  <c r="L12" i="14"/>
  <c r="L13" i="14"/>
  <c r="L15" i="14"/>
  <c r="L16" i="14"/>
  <c r="L17" i="14"/>
  <c r="H11" i="14"/>
  <c r="M17" i="14"/>
  <c r="M15" i="14"/>
  <c r="M6" i="14"/>
  <c r="H10" i="14"/>
  <c r="H9" i="14"/>
  <c r="H7" i="14"/>
  <c r="H6" i="14"/>
  <c r="H5" i="14"/>
  <c r="H4" i="14"/>
  <c r="H3" i="14"/>
  <c r="H2" i="14"/>
  <c r="M16" i="14"/>
  <c r="M14" i="14"/>
  <c r="M13" i="14"/>
  <c r="M12" i="14"/>
  <c r="M11" i="14"/>
  <c r="M10" i="14"/>
  <c r="M9" i="14"/>
  <c r="M8" i="14"/>
  <c r="M7" i="14"/>
  <c r="M5" i="14"/>
  <c r="M4" i="14"/>
  <c r="M3" i="14"/>
  <c r="M2" i="14"/>
  <c r="G35" i="13"/>
  <c r="B2" i="13"/>
  <c r="E14" i="13"/>
  <c r="G31" i="13"/>
  <c r="G28" i="13"/>
  <c r="E28" i="13"/>
  <c r="I25" i="13"/>
  <c r="E25" i="13"/>
  <c r="J23" i="13"/>
  <c r="J22" i="13"/>
  <c r="J21" i="13"/>
  <c r="J20" i="13"/>
  <c r="J19" i="13"/>
  <c r="J18" i="13"/>
  <c r="J17" i="13"/>
  <c r="J16" i="13"/>
  <c r="J15" i="13"/>
  <c r="J14" i="13"/>
  <c r="F14" i="13"/>
  <c r="J13" i="13"/>
  <c r="F13" i="13"/>
  <c r="J12" i="13"/>
  <c r="F12" i="13"/>
  <c r="J11" i="13"/>
  <c r="F11" i="13"/>
  <c r="J10" i="13"/>
  <c r="F10" i="13"/>
  <c r="J9" i="13"/>
  <c r="F9" i="13"/>
  <c r="J8" i="13"/>
  <c r="F8" i="13"/>
  <c r="A8" i="13"/>
  <c r="A5" i="13"/>
  <c r="J23" i="11"/>
  <c r="J22" i="11"/>
  <c r="A8" i="11"/>
  <c r="G35" i="11"/>
  <c r="G31" i="11"/>
  <c r="G28" i="11"/>
  <c r="E35" i="11"/>
  <c r="E31" i="11"/>
  <c r="E28" i="11"/>
  <c r="G33" i="10"/>
  <c r="B2" i="11"/>
  <c r="E14" i="11"/>
  <c r="I25" i="11"/>
  <c r="E25" i="11"/>
  <c r="J21" i="11"/>
  <c r="J20" i="11"/>
  <c r="J19" i="11"/>
  <c r="J18" i="11"/>
  <c r="J17" i="11"/>
  <c r="J16" i="11"/>
  <c r="J15" i="11"/>
  <c r="J14" i="11"/>
  <c r="J13" i="11"/>
  <c r="F13" i="11"/>
  <c r="J12" i="11"/>
  <c r="F12" i="11"/>
  <c r="J11" i="11"/>
  <c r="F11" i="11"/>
  <c r="J10" i="11"/>
  <c r="F10" i="11"/>
  <c r="J9" i="11"/>
  <c r="F9" i="11"/>
  <c r="J8" i="11"/>
  <c r="F8" i="11"/>
  <c r="G29" i="10"/>
  <c r="G26" i="10"/>
  <c r="I23" i="10"/>
  <c r="E23" i="10"/>
  <c r="J21" i="10"/>
  <c r="J20" i="10"/>
  <c r="J19" i="10"/>
  <c r="J18" i="10"/>
  <c r="J17" i="10"/>
  <c r="J16" i="10"/>
  <c r="J15" i="10"/>
  <c r="J14" i="10"/>
  <c r="J13" i="10"/>
  <c r="F13" i="10"/>
  <c r="J12" i="10"/>
  <c r="F12" i="10"/>
  <c r="J11" i="10"/>
  <c r="F11" i="10"/>
  <c r="J10" i="10"/>
  <c r="F10" i="10"/>
  <c r="J9" i="10"/>
  <c r="F9" i="10"/>
  <c r="J8" i="10"/>
  <c r="F8" i="10"/>
  <c r="A8" i="10"/>
  <c r="A5" i="10"/>
  <c r="G33" i="9"/>
  <c r="G29" i="9"/>
  <c r="G26" i="9"/>
  <c r="I23" i="9"/>
  <c r="E23" i="9"/>
  <c r="J21" i="9"/>
  <c r="J20" i="9"/>
  <c r="J19" i="9"/>
  <c r="J18" i="9"/>
  <c r="J17" i="9"/>
  <c r="J16" i="9"/>
  <c r="J15" i="9"/>
  <c r="J14" i="9"/>
  <c r="J13" i="9"/>
  <c r="F13" i="9"/>
  <c r="J12" i="9"/>
  <c r="F12" i="9"/>
  <c r="J11" i="9"/>
  <c r="F11" i="9"/>
  <c r="J10" i="9"/>
  <c r="F10" i="9"/>
  <c r="J9" i="9"/>
  <c r="F9" i="9"/>
  <c r="J8" i="9"/>
  <c r="F8" i="9"/>
  <c r="A8" i="9"/>
  <c r="A5" i="9"/>
  <c r="G33" i="8"/>
  <c r="G29" i="8"/>
  <c r="G26" i="8"/>
  <c r="I23" i="8"/>
  <c r="E23" i="8"/>
  <c r="J21" i="8"/>
  <c r="J20" i="8"/>
  <c r="J19" i="8"/>
  <c r="J18" i="8"/>
  <c r="J17" i="8"/>
  <c r="J16" i="8"/>
  <c r="J15" i="8"/>
  <c r="J14" i="8"/>
  <c r="J13" i="8"/>
  <c r="F13" i="8"/>
  <c r="J12" i="8"/>
  <c r="F12" i="8"/>
  <c r="J11" i="8"/>
  <c r="F11" i="8"/>
  <c r="J10" i="8"/>
  <c r="F10" i="8"/>
  <c r="J9" i="8"/>
  <c r="F9" i="8"/>
  <c r="J8" i="8"/>
  <c r="F8" i="8"/>
  <c r="A8" i="8"/>
  <c r="A5" i="8"/>
  <c r="G33" i="7"/>
  <c r="G29" i="7"/>
  <c r="G26" i="7"/>
  <c r="I23" i="7"/>
  <c r="E23" i="7"/>
  <c r="J21" i="7"/>
  <c r="J20" i="7"/>
  <c r="J19" i="7"/>
  <c r="J18" i="7"/>
  <c r="J17" i="7"/>
  <c r="J16" i="7"/>
  <c r="J15" i="7"/>
  <c r="J14" i="7"/>
  <c r="J13" i="7"/>
  <c r="F13" i="7"/>
  <c r="J12" i="7"/>
  <c r="F12" i="7"/>
  <c r="J11" i="7"/>
  <c r="F11" i="7"/>
  <c r="J10" i="7"/>
  <c r="F10" i="7"/>
  <c r="J9" i="7"/>
  <c r="F9" i="7"/>
  <c r="J8" i="7"/>
  <c r="F8" i="7"/>
  <c r="A8" i="7"/>
  <c r="A5" i="7"/>
  <c r="G33" i="6"/>
  <c r="G29" i="6"/>
  <c r="G26" i="6"/>
  <c r="I23" i="6"/>
  <c r="E23" i="6"/>
  <c r="J21" i="6"/>
  <c r="J20" i="6"/>
  <c r="J19" i="6"/>
  <c r="J18" i="6"/>
  <c r="J17" i="6"/>
  <c r="J16" i="6"/>
  <c r="J15" i="6"/>
  <c r="J14" i="6"/>
  <c r="J13" i="6"/>
  <c r="F13" i="6"/>
  <c r="J12" i="6"/>
  <c r="F12" i="6"/>
  <c r="J11" i="6"/>
  <c r="F11" i="6"/>
  <c r="J10" i="6"/>
  <c r="F10" i="6"/>
  <c r="J9" i="6"/>
  <c r="F9" i="6"/>
  <c r="J8" i="6"/>
  <c r="F8" i="6"/>
  <c r="A8" i="6"/>
  <c r="A5" i="6"/>
  <c r="G33" i="5"/>
  <c r="G29" i="5"/>
  <c r="G26" i="5"/>
  <c r="I23" i="5"/>
  <c r="E23" i="5"/>
  <c r="J21" i="5"/>
  <c r="J20" i="5"/>
  <c r="J19" i="5"/>
  <c r="J18" i="5"/>
  <c r="J17" i="5"/>
  <c r="J16" i="5"/>
  <c r="J15" i="5"/>
  <c r="J14" i="5"/>
  <c r="J13" i="5"/>
  <c r="F13" i="5"/>
  <c r="J12" i="5"/>
  <c r="F12" i="5"/>
  <c r="J11" i="5"/>
  <c r="F11" i="5"/>
  <c r="J10" i="5"/>
  <c r="F10" i="5"/>
  <c r="J9" i="5"/>
  <c r="F9" i="5"/>
  <c r="J8" i="5"/>
  <c r="F8" i="5"/>
  <c r="A8" i="5"/>
  <c r="A5" i="5"/>
  <c r="G33" i="4"/>
  <c r="G29" i="4"/>
  <c r="G26" i="4"/>
  <c r="I23" i="4"/>
  <c r="E23" i="4"/>
  <c r="J21" i="4"/>
  <c r="J20" i="4"/>
  <c r="J19" i="4"/>
  <c r="J18" i="4"/>
  <c r="J17" i="4"/>
  <c r="J16" i="4"/>
  <c r="J15" i="4"/>
  <c r="J14" i="4"/>
  <c r="J13" i="4"/>
  <c r="F13" i="4"/>
  <c r="J12" i="4"/>
  <c r="F12" i="4"/>
  <c r="J11" i="4"/>
  <c r="F11" i="4"/>
  <c r="J10" i="4"/>
  <c r="F10" i="4"/>
  <c r="J9" i="4"/>
  <c r="F9" i="4"/>
  <c r="J8" i="4"/>
  <c r="F8" i="4"/>
  <c r="A8" i="4"/>
  <c r="A5" i="4"/>
  <c r="G29" i="1"/>
  <c r="G33" i="1"/>
  <c r="G26" i="1"/>
  <c r="A8" i="1"/>
  <c r="F11" i="1"/>
  <c r="F11" i="3"/>
  <c r="I23" i="3"/>
  <c r="E23" i="3"/>
  <c r="J21" i="3"/>
  <c r="J20" i="3"/>
  <c r="J19" i="3"/>
  <c r="J18" i="3"/>
  <c r="J17" i="3"/>
  <c r="J16" i="3"/>
  <c r="J15" i="3"/>
  <c r="J14" i="3"/>
  <c r="J13" i="3"/>
  <c r="F13" i="3"/>
  <c r="J12" i="3"/>
  <c r="F12" i="3"/>
  <c r="J11" i="3"/>
  <c r="J10" i="3"/>
  <c r="F10" i="3"/>
  <c r="J9" i="3"/>
  <c r="F9" i="3"/>
  <c r="J8" i="3"/>
  <c r="F8" i="3"/>
  <c r="A5" i="3"/>
  <c r="A8" i="3"/>
  <c r="E23" i="1"/>
  <c r="F8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F13" i="1"/>
  <c r="F12" i="1"/>
  <c r="F10" i="1"/>
  <c r="F9" i="1"/>
  <c r="I23" i="1"/>
  <c r="F14" i="11"/>
  <c r="A5" i="11"/>
  <c r="A5" i="1"/>
  <c r="G8" i="14"/>
  <c r="H8" i="14"/>
  <c r="F13" i="17" l="1"/>
  <c r="C2" i="17" s="1"/>
  <c r="G8" i="17"/>
  <c r="H8" i="17" s="1"/>
  <c r="F13" i="16"/>
  <c r="C2" i="16" s="1"/>
  <c r="G8" i="16"/>
  <c r="H8" i="16" s="1"/>
</calcChain>
</file>

<file path=xl/sharedStrings.xml><?xml version="1.0" encoding="utf-8"?>
<sst xmlns="http://schemas.openxmlformats.org/spreadsheetml/2006/main" count="2369" uniqueCount="343">
  <si>
    <t>Monthly Income</t>
  </si>
  <si>
    <t>Monthly Expenses</t>
  </si>
  <si>
    <t>Budgeted Expenses</t>
  </si>
  <si>
    <t>Bill Type</t>
  </si>
  <si>
    <t>Budgeted Amount</t>
  </si>
  <si>
    <t>Reductions Per Account</t>
  </si>
  <si>
    <t>Discretionary/Living Expenses</t>
  </si>
  <si>
    <t>Bridge</t>
  </si>
  <si>
    <t>Car Upkeep</t>
  </si>
  <si>
    <t>Bronco payment</t>
  </si>
  <si>
    <t>Date/Fun Money</t>
  </si>
  <si>
    <t>Car Wash</t>
  </si>
  <si>
    <t>Dining Out</t>
  </si>
  <si>
    <t>Rent</t>
  </si>
  <si>
    <t>Dogs</t>
  </si>
  <si>
    <t>Utilities</t>
  </si>
  <si>
    <t>Emergency Savings</t>
  </si>
  <si>
    <t>Wifi</t>
  </si>
  <si>
    <t>Extra Car Payment</t>
  </si>
  <si>
    <t>Tithing</t>
  </si>
  <si>
    <t>Gas</t>
  </si>
  <si>
    <t>Groceries</t>
  </si>
  <si>
    <t>House Repayment</t>
  </si>
  <si>
    <t>Household Items</t>
  </si>
  <si>
    <t>Shopping</t>
  </si>
  <si>
    <t>Student Loans</t>
  </si>
  <si>
    <t>Travel</t>
  </si>
  <si>
    <t>Variables</t>
  </si>
  <si>
    <t>Total Bills Expense:</t>
  </si>
  <si>
    <t>Total Discretionary/Living Expense:</t>
  </si>
  <si>
    <t>Expense Breakdown</t>
  </si>
  <si>
    <t>Date</t>
  </si>
  <si>
    <t>Category</t>
  </si>
  <si>
    <t>Amount</t>
  </si>
  <si>
    <t>here</t>
  </si>
  <si>
    <t>Budget Expenses</t>
  </si>
  <si>
    <t>Mortgage</t>
  </si>
  <si>
    <t>My Paycheck...</t>
  </si>
  <si>
    <t>Bronco, Mortgage, Utilities, Wifi, Groceries</t>
  </si>
  <si>
    <t>Mikelle's 1st Paycheck...</t>
  </si>
  <si>
    <t>Bridge,  Tithing, Date/Fun Money, Dining Out, Dogs, Gas, Shopping, Variables</t>
  </si>
  <si>
    <t>Mikelle's 2nd Paycheck...</t>
  </si>
  <si>
    <t>Car Wash, Car Upkeep, Emergency Savings, Extra Car Payment, Household Items, Student Loans, Travel</t>
  </si>
  <si>
    <t>SchoolsFirst</t>
  </si>
  <si>
    <t>HO's insurance for the year...</t>
  </si>
  <si>
    <t>Tick meds, take from dad budget</t>
  </si>
  <si>
    <t>MS budget</t>
  </si>
  <si>
    <t>Chase</t>
  </si>
  <si>
    <t>Take out of utilities</t>
  </si>
  <si>
    <t xml:space="preserve">Baby shower gift </t>
  </si>
  <si>
    <t>Google fiber... need to check on this. I have their device. Why did they charge me?</t>
  </si>
  <si>
    <t>Covered by Mom and Dad</t>
  </si>
  <si>
    <t>Cover this</t>
  </si>
  <si>
    <t>I need to see what in the world this is about... cover 146.57 of this</t>
  </si>
  <si>
    <t>Heh February :)</t>
  </si>
  <si>
    <t>Swig</t>
  </si>
  <si>
    <t>Mikelle's Bday</t>
  </si>
  <si>
    <t>Oura Ring</t>
  </si>
  <si>
    <t xml:space="preserve">Mikelle's budget </t>
  </si>
  <si>
    <t>Mikelle's Bday (technically doesn't count bc i was in my being spoiled time)</t>
  </si>
  <si>
    <t xml:space="preserve">Super Bowl </t>
  </si>
  <si>
    <t>Netflix</t>
  </si>
  <si>
    <t>(This was taken out of grocery budget since there wasn't enough in household account -- on 2nd paycheck pay amount to grocery)</t>
  </si>
  <si>
    <t>Iceberg (some of it was isaac's... just saying... they ARE rich)</t>
  </si>
  <si>
    <t>Jaedan's for fortnite (GAY)(but whatevs bro, your budge)</t>
  </si>
  <si>
    <t>cookies for mikelle (also shouldn't count bc preggers duh)</t>
  </si>
  <si>
    <t>mikelle's cookbook... so i guess it can come out of her budge, which means her budge is empty</t>
  </si>
  <si>
    <t xml:space="preserve">for mikelle's bday </t>
  </si>
  <si>
    <t xml:space="preserve">Bagel Den </t>
  </si>
  <si>
    <t xml:space="preserve">Hair Stuff for mikelle --- not sure where to take this out of </t>
  </si>
  <si>
    <t>Abercrombie order -- some for Valentine's gift &amp; rest for mikelle from christmas/birthday</t>
  </si>
  <si>
    <t>Garments -- Where to take this out of?</t>
  </si>
  <si>
    <t xml:space="preserve">Michaels - This was for activity -- need to be reimbursed </t>
  </si>
  <si>
    <t xml:space="preserve">Smith's - This was for activity -- need to be reimbursed </t>
  </si>
  <si>
    <t>Amazon Camping Gear -- Returning!</t>
  </si>
  <si>
    <t xml:space="preserve">Amazon subscription </t>
  </si>
  <si>
    <t xml:space="preserve">Camping - Woofems </t>
  </si>
  <si>
    <t>Mikelle's Shopping budge - christmas/birthday money</t>
  </si>
  <si>
    <t>Amazon membership</t>
  </si>
  <si>
    <t>Valentine's Dinner</t>
  </si>
  <si>
    <t>Not sure what this was for</t>
  </si>
  <si>
    <t>Snowboarding</t>
  </si>
  <si>
    <t>Ice cream (isaac venmoed some?)</t>
  </si>
  <si>
    <t>Rocking Chair (Grams gave $350 for this)</t>
  </si>
  <si>
    <t xml:space="preserve">Amazon order for books </t>
  </si>
  <si>
    <t>Baby Stuff</t>
  </si>
  <si>
    <t>Cubbys - Popski Venmoed for this</t>
  </si>
  <si>
    <t>Solly purchase for friend. Venmoed me back and $7.95 was refunded</t>
  </si>
  <si>
    <t xml:space="preserve">Fabric </t>
  </si>
  <si>
    <t>Fabric -- Minus $12.36</t>
  </si>
  <si>
    <t>Body wash, deodarant, and other body care essentials</t>
  </si>
  <si>
    <t>**Household items needs to be moved into emergency savings on 2nd paycheck**</t>
  </si>
  <si>
    <t>Toilet brushes &amp; Ziploc Bags</t>
  </si>
  <si>
    <t>Watch bands - Jae</t>
  </si>
  <si>
    <t>Jae- Amazon</t>
  </si>
  <si>
    <t>Fortnite</t>
  </si>
  <si>
    <t>Garments</t>
  </si>
  <si>
    <t>**$30 of this is for Relief Society Activity -- NEED TO GET REFUNDED AND PUT INTO EMERGENCY**</t>
  </si>
  <si>
    <t>Babyshower gift for Liset --- was venmoed for.</t>
  </si>
  <si>
    <t>Mikelle's budge</t>
  </si>
  <si>
    <t>Hadlee's budge</t>
  </si>
  <si>
    <t>Wyatt Flores Concert</t>
  </si>
  <si>
    <t>BONFIRE NIGHT</t>
  </si>
  <si>
    <t>BedFrame</t>
  </si>
  <si>
    <t>Bike Tire (coming out of car bc it is another "vehicle")</t>
  </si>
  <si>
    <t>Mikelle's Budge</t>
  </si>
  <si>
    <t>**Bedding (comes out of some other account)</t>
  </si>
  <si>
    <t>Baby Budge</t>
  </si>
  <si>
    <t>Lunch when watching Colton (Lonica venmoed)</t>
  </si>
  <si>
    <t>Oura Ring Sub</t>
  </si>
  <si>
    <t>Bought solly for someone (they already venmoed me)</t>
  </si>
  <si>
    <t>**For Relief Society Activity, getting reimbursed**</t>
  </si>
  <si>
    <t>**Going to pay off with reward points!! Tried getting gift card.didn't work**</t>
  </si>
  <si>
    <t>Gym Stuff</t>
  </si>
  <si>
    <t>Pictures</t>
  </si>
  <si>
    <t>Baby gorl's room improvements</t>
  </si>
  <si>
    <t>Preworkout</t>
  </si>
  <si>
    <t>Jaedan's budge</t>
  </si>
  <si>
    <t>BRISKET</t>
  </si>
  <si>
    <t xml:space="preserve">Bowlling w/ colton - lonica venmoed. </t>
  </si>
  <si>
    <t>WALMART -- controller</t>
  </si>
  <si>
    <t>Madi's Graduation lei</t>
  </si>
  <si>
    <t>Baby shower food - My mom paid for $85 of it, so we only cover $43</t>
  </si>
  <si>
    <t>Baby shower food</t>
  </si>
  <si>
    <t>Hadlee's Budge</t>
  </si>
  <si>
    <t>Splash Summit Passes</t>
  </si>
  <si>
    <t>Mother's Day Gift - Brother's are venmoing - will only be $4 each.</t>
  </si>
  <si>
    <t>Flights</t>
  </si>
  <si>
    <t>Dinner Night 1</t>
  </si>
  <si>
    <t>Movies</t>
  </si>
  <si>
    <t>Water</t>
  </si>
  <si>
    <t>Parking</t>
  </si>
  <si>
    <t>Ice Cream</t>
  </si>
  <si>
    <t>Dinner Night 2</t>
  </si>
  <si>
    <t>DELTA CHARGE ** SHOULD GET REFUNDED***</t>
  </si>
  <si>
    <t xml:space="preserve">Not sure what this was** </t>
  </si>
  <si>
    <t>Baby shower things - Kort paid us back on Venmo</t>
  </si>
  <si>
    <t>Household Items need to be placed into Student Loans</t>
  </si>
  <si>
    <t>goose's birthday present</t>
  </si>
  <si>
    <t xml:space="preserve">dishwasher detergent </t>
  </si>
  <si>
    <t>Pillows</t>
  </si>
  <si>
    <t>Griddle</t>
  </si>
  <si>
    <t xml:space="preserve">Minky </t>
  </si>
  <si>
    <t>RENTAL CAR</t>
  </si>
  <si>
    <t>(I think Isaac Venmoed us back for this?)</t>
  </si>
  <si>
    <t>Burger Spot in Springville??</t>
  </si>
  <si>
    <t>Angel's Merch</t>
  </si>
  <si>
    <t>Mother's Day Breakfast for Kort</t>
  </si>
  <si>
    <t>Parking for Airport?</t>
  </si>
  <si>
    <t>Jaedan's forgotten toiletries *Pain*</t>
  </si>
  <si>
    <t>Bug Spray</t>
  </si>
  <si>
    <t>Cookbook that Aryan venmoed me for</t>
  </si>
  <si>
    <t>Switch Game</t>
  </si>
  <si>
    <t xml:space="preserve">Jaedan's shirt </t>
  </si>
  <si>
    <t>Rope &amp; Shiz</t>
  </si>
  <si>
    <t>*Took out of Emergency bc vault wasn't paid yet - PUT BACK INTO EMERGENCY*</t>
  </si>
  <si>
    <t>Gift for Dad Jaedan</t>
  </si>
  <si>
    <t>Prime Membership</t>
  </si>
  <si>
    <t>Mikelle's fav pants ever</t>
  </si>
  <si>
    <t>GoLFiNg - FOR SURE Jae dawgs budge</t>
  </si>
  <si>
    <t>Cubbys for da fam - kort paid us back doe</t>
  </si>
  <si>
    <t xml:space="preserve">wat da hek... more golf... </t>
  </si>
  <si>
    <t>uh not shore what was $1 at da movies but here it is</t>
  </si>
  <si>
    <t>not sure what to catergorize this as - lunch for wata pahk</t>
  </si>
  <si>
    <t xml:space="preserve">baby stuff </t>
  </si>
  <si>
    <t>pahking for da wata pahk</t>
  </si>
  <si>
    <t>Freepeople order, but got returned</t>
  </si>
  <si>
    <t>Hadlee's budge (for her room)</t>
  </si>
  <si>
    <t>mikelle's budge</t>
  </si>
  <si>
    <t>Bug lights (returning one set, should only be a total of $30 ish)</t>
  </si>
  <si>
    <t>hadlee's budge (just baby needs)</t>
  </si>
  <si>
    <t>Baby/dog gate</t>
  </si>
  <si>
    <t>homedepot</t>
  </si>
  <si>
    <t>baby dresser</t>
  </si>
  <si>
    <t>thank you to k8 + n8</t>
  </si>
  <si>
    <t>parking @ splash</t>
  </si>
  <si>
    <t>Mikelle's budge - money returned from freepeople</t>
  </si>
  <si>
    <t>For ward activity (need to be reimburesed)</t>
  </si>
  <si>
    <t>Dinner for ministering people</t>
  </si>
  <si>
    <t>hadlees</t>
  </si>
  <si>
    <t>prep for birth</t>
  </si>
  <si>
    <t>jaedan's</t>
  </si>
  <si>
    <t>Investment</t>
  </si>
  <si>
    <t>Hadlee</t>
  </si>
  <si>
    <t>Bronco, Mortgage, Utilities, Wifi, Groceries, Travel (400), Hadlee</t>
  </si>
  <si>
    <t>Bridge,  Tithing, Date/Fun Money, Dining Out, Dogs, Gas, Shopping, Variables, House Repayment</t>
  </si>
  <si>
    <t>Car Wash, Car Upkeep, Emergency Savings, Extra Car Payment, Household Items, Student Loans, Investment, Travel (100)</t>
  </si>
  <si>
    <t>Made by Mary</t>
  </si>
  <si>
    <t>Bronco, Mortgage, Utilities, Wifi , Groceries, Travel (400), Hadlee</t>
  </si>
  <si>
    <t>9.43 Amazon for chase</t>
  </si>
  <si>
    <t>Actual Expenses</t>
  </si>
  <si>
    <t>Balance</t>
  </si>
  <si>
    <t>4Runner payment</t>
  </si>
  <si>
    <t>My Paycheck</t>
  </si>
  <si>
    <t>Mikelle's First</t>
  </si>
  <si>
    <t>Mikelle's Second</t>
  </si>
  <si>
    <t>House Savings</t>
  </si>
  <si>
    <t xml:space="preserve">Bridge </t>
  </si>
  <si>
    <t xml:space="preserve">Car Wash </t>
  </si>
  <si>
    <t>Nanny</t>
  </si>
  <si>
    <t>Car Insurance</t>
  </si>
  <si>
    <t>Home Insurance</t>
  </si>
  <si>
    <t>Travel (400)</t>
  </si>
  <si>
    <t>Total</t>
  </si>
  <si>
    <t>Travel (100)</t>
  </si>
  <si>
    <t>Gym</t>
  </si>
  <si>
    <t>Gift Money</t>
  </si>
  <si>
    <t>Mikelle shot</t>
  </si>
  <si>
    <t>Emergency</t>
  </si>
  <si>
    <t>Notes</t>
  </si>
  <si>
    <t>Credit Card</t>
  </si>
  <si>
    <t>Costco Haul</t>
  </si>
  <si>
    <t>Hangers</t>
  </si>
  <si>
    <t>Jaedan Hair</t>
  </si>
  <si>
    <t>Lonica meal</t>
  </si>
  <si>
    <t>Leftover tuition</t>
  </si>
  <si>
    <t>Mikelle's birthday</t>
  </si>
  <si>
    <t>Creamery</t>
  </si>
  <si>
    <t>Birthday breakfast</t>
  </si>
  <si>
    <t>Swim shorts Jaedan</t>
  </si>
  <si>
    <t>Hadlee clothes</t>
  </si>
  <si>
    <t>Mikelle Bohme</t>
  </si>
  <si>
    <t xml:space="preserve">Mikelle makeup </t>
  </si>
  <si>
    <t>Mikelle and Jaedan shopping, Jaedan $70</t>
  </si>
  <si>
    <t>Putt</t>
  </si>
  <si>
    <t>Birthday dinner</t>
  </si>
  <si>
    <t>Film camera</t>
  </si>
  <si>
    <t>TJ maxx</t>
  </si>
  <si>
    <t>Mouth wash</t>
  </si>
  <si>
    <t xml:space="preserve">Smiths </t>
  </si>
  <si>
    <t>Dentist</t>
  </si>
  <si>
    <t>Haircut</t>
  </si>
  <si>
    <t>Bridge Costco run</t>
  </si>
  <si>
    <t>Sofi</t>
  </si>
  <si>
    <t>Candy with Jalyn/Carter</t>
  </si>
  <si>
    <t>Amex</t>
  </si>
  <si>
    <t>Flowers</t>
  </si>
  <si>
    <t>Harmons</t>
  </si>
  <si>
    <t>Oura</t>
  </si>
  <si>
    <t>Lunch (no dinner at home)</t>
  </si>
  <si>
    <t>American Express membership fee</t>
  </si>
  <si>
    <t>Crumbl</t>
  </si>
  <si>
    <t xml:space="preserve">Nails </t>
  </si>
  <si>
    <t>Italy hotel</t>
  </si>
  <si>
    <t>Ballerina Farm</t>
  </si>
  <si>
    <t>Bakery</t>
  </si>
  <si>
    <t>Sportellis</t>
  </si>
  <si>
    <t>Cafe rio</t>
  </si>
  <si>
    <t>Hadlee food</t>
  </si>
  <si>
    <t>Costco</t>
  </si>
  <si>
    <t>Costco - unsure what for</t>
  </si>
  <si>
    <t>Hadlee fiid</t>
  </si>
  <si>
    <t>Intermountain</t>
  </si>
  <si>
    <t>Hyrox</t>
  </si>
  <si>
    <t>Thai Neighbor</t>
  </si>
  <si>
    <t>SLC Airport Parking</t>
  </si>
  <si>
    <t>USPS PO Passport</t>
  </si>
  <si>
    <t>Peacock</t>
  </si>
  <si>
    <t>Valentines</t>
  </si>
  <si>
    <t>Mikelle budge tiktok shop</t>
  </si>
  <si>
    <t>Amazon Prime</t>
  </si>
  <si>
    <t>Canva</t>
  </si>
  <si>
    <t>WMT PLUS FEB ?</t>
  </si>
  <si>
    <t>Tik Tok Shop</t>
  </si>
  <si>
    <t>ATX Auctions</t>
  </si>
  <si>
    <t>Apple Digital services</t>
  </si>
  <si>
    <t>Disney+</t>
  </si>
  <si>
    <t>Amazon Prime Membership</t>
  </si>
  <si>
    <t>TikTok Shop</t>
  </si>
  <si>
    <t>First Watch</t>
  </si>
  <si>
    <t>Thread Wallet Bag ....</t>
  </si>
  <si>
    <t>Vision Doctor</t>
  </si>
  <si>
    <t>Food and Toys</t>
  </si>
  <si>
    <t>Junction</t>
  </si>
  <si>
    <t>Paid</t>
  </si>
  <si>
    <t>Eggs</t>
  </si>
  <si>
    <t>California trip</t>
  </si>
  <si>
    <t>Nicklecade</t>
  </si>
  <si>
    <t>Formula</t>
  </si>
  <si>
    <t>Candy for Sunday School</t>
  </si>
  <si>
    <t>Should get this reimursed!</t>
  </si>
  <si>
    <t>Scale and Hair Ties</t>
  </si>
  <si>
    <t>Smith's</t>
  </si>
  <si>
    <t>TikTok - Blooms</t>
  </si>
  <si>
    <t>Smiths</t>
  </si>
  <si>
    <t>Clean Simple Eats Protein</t>
  </si>
  <si>
    <t>Mikelle's Budge (nail supplies)</t>
  </si>
  <si>
    <t>Costco (Broken up charge)</t>
  </si>
  <si>
    <t>Bones</t>
  </si>
  <si>
    <t>Paper towles, toilet paper, J Deoderant, Dishwasher stuff</t>
  </si>
  <si>
    <t>Vitamins</t>
  </si>
  <si>
    <t>Target Run</t>
  </si>
  <si>
    <t>Tylee Birthdat</t>
  </si>
  <si>
    <t>Mikelle nail supplies</t>
  </si>
  <si>
    <t>Colloseum tour</t>
  </si>
  <si>
    <t>Rec</t>
  </si>
  <si>
    <t>Index Card</t>
  </si>
  <si>
    <t>Labyrinth</t>
  </si>
  <si>
    <t>Not Paid</t>
  </si>
  <si>
    <t>Car insurance</t>
  </si>
  <si>
    <t>Core Athletics</t>
  </si>
  <si>
    <t>Mother's Day PJs</t>
  </si>
  <si>
    <t>Foot cream</t>
  </si>
  <si>
    <t>Dog food and bones</t>
  </si>
  <si>
    <t>Mikelle phone case</t>
  </si>
  <si>
    <t>Sephora</t>
  </si>
  <si>
    <t>Hadlee Car Seat</t>
  </si>
  <si>
    <t>Acai bowl</t>
  </si>
  <si>
    <t>Mikelle abercrombie</t>
  </si>
  <si>
    <t>Wayback burgers</t>
  </si>
  <si>
    <t>Lotion</t>
  </si>
  <si>
    <t>Hot dogs</t>
  </si>
  <si>
    <t>Amazon</t>
  </si>
  <si>
    <t>Apple services</t>
  </si>
  <si>
    <t>Jaedan shopping</t>
  </si>
  <si>
    <t>Influencer gear</t>
  </si>
  <si>
    <t>Cutting board</t>
  </si>
  <si>
    <t>Easter gift</t>
  </si>
  <si>
    <t>Using tax return money</t>
  </si>
  <si>
    <t>Bunch of Costco card stuff that I am too tired to put into categories...</t>
  </si>
  <si>
    <t>How much is Mikelle in shopping debt?</t>
  </si>
  <si>
    <t>I have 37.38 left in my account</t>
  </si>
  <si>
    <t>Easter</t>
  </si>
  <si>
    <t>Makeup, face wash</t>
  </si>
  <si>
    <t>Mikelle called to surf</t>
  </si>
  <si>
    <t>Mikelle cricut</t>
  </si>
  <si>
    <t>Easter dinner groceries</t>
  </si>
  <si>
    <t>Italy</t>
  </si>
  <si>
    <t>New York</t>
  </si>
  <si>
    <t>Arizona</t>
  </si>
  <si>
    <t>Arizona Shake Shack</t>
  </si>
  <si>
    <t>Airport parking</t>
  </si>
  <si>
    <t>Top Golf w Tanner</t>
  </si>
  <si>
    <t>Clothes</t>
  </si>
  <si>
    <t>Mikelle's business</t>
  </si>
  <si>
    <t>Nielsen's</t>
  </si>
  <si>
    <t>Uhaul - Gym</t>
  </si>
  <si>
    <t>Bark box</t>
  </si>
  <si>
    <t>Birthday cake</t>
  </si>
  <si>
    <t>Mikelle shoes</t>
  </si>
  <si>
    <t>Diapers</t>
  </si>
  <si>
    <t>Dog food</t>
  </si>
  <si>
    <t>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</si>
</sst>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Aptos Narrow"/>
      <family val="2"/>
      <scheme val="minor"/>
    </font>
    <font>
      <sz val="18"/>
      <color rgb="FF45D65A"/>
      <name val="Aptos Narrow"/>
      <scheme val="minor"/>
    </font>
    <font>
      <sz val="11"/>
      <color rgb="FF0070C0"/>
      <name val="Aptos Narrow"/>
      <family val="2"/>
      <scheme val="minor"/>
    </font>
    <font>
      <sz val="18"/>
      <color theme="5" tint="0.39997558519241921"/>
      <name val="Aptos Narrow"/>
      <scheme val="minor"/>
    </font>
    <font>
      <sz val="11"/>
      <color theme="5" tint="0.39997558519241921"/>
      <name val="Aptos Narrow"/>
      <family val="2"/>
      <scheme val="minor"/>
    </font>
    <font>
      <sz val="18"/>
      <color theme="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14" fontId="0" fillId="0" borderId="0" xfId="0" applyNumberFormat="1"/>
    <xf numFmtId="0" fontId="3" fillId="2" borderId="0" xfId="0" applyFont="1" applyFill="1"/>
    <xf numFmtId="164" fontId="4" fillId="2" borderId="0" xfId="0" applyNumberFormat="1" applyFont="1" applyFill="1"/>
    <xf numFmtId="0" fontId="5" fillId="3" borderId="0" xfId="0" applyFont="1" applyFill="1"/>
    <xf numFmtId="0" fontId="3" fillId="2" borderId="0" xfId="0" applyFont="1" applyFill="1" applyAlignment="1">
      <alignment horizontal="center"/>
    </xf>
    <xf numFmtId="0" fontId="6" fillId="4" borderId="0" xfId="0" applyFont="1" applyFill="1"/>
    <xf numFmtId="164" fontId="6" fillId="4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0" fontId="7" fillId="5" borderId="0" xfId="0" applyFont="1" applyFill="1"/>
    <xf numFmtId="0" fontId="0" fillId="0" borderId="0" xfId="0" applyAlignment="1">
      <alignment wrapText="1"/>
    </xf>
    <xf numFmtId="14" fontId="0" fillId="6" borderId="0" xfId="0" applyNumberFormat="1" applyFill="1"/>
    <xf numFmtId="0" fontId="0" fillId="6" borderId="0" xfId="0" applyFill="1"/>
    <xf numFmtId="164" fontId="0" fillId="6" borderId="0" xfId="0" applyNumberFormat="1" applyFill="1"/>
    <xf numFmtId="14" fontId="0" fillId="7" borderId="0" xfId="0" applyNumberFormat="1" applyFill="1"/>
    <xf numFmtId="0" fontId="0" fillId="7" borderId="0" xfId="0" applyFill="1"/>
    <xf numFmtId="164" fontId="0" fillId="7" borderId="0" xfId="0" applyNumberFormat="1" applyFill="1"/>
    <xf numFmtId="14" fontId="8" fillId="0" borderId="0" xfId="0" applyNumberFormat="1" applyFont="1"/>
    <xf numFmtId="0" fontId="8" fillId="0" borderId="0" xfId="0" applyFont="1"/>
    <xf numFmtId="164" fontId="8" fillId="0" borderId="0" xfId="0" applyNumberFormat="1" applyFont="1"/>
    <xf numFmtId="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B9D7-B932-45D3-A78E-34293EFCE74A}">
  <dimension ref="A1:J103"/>
  <sheetViews>
    <sheetView topLeftCell="A6" workbookViewId="0">
      <selection activeCell="F15" sqref="F15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3511.1700000000005</v>
      </c>
      <c r="C5"/>
      <c r="D5"/>
    </row>
    <row r="6" spans="1:10">
      <c r="A6"/>
      <c r="C6"/>
      <c r="D6"/>
    </row>
    <row r="7" spans="1:10" ht="24.75">
      <c r="A7" s="14" t="s">
        <v>2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6033.66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100</v>
      </c>
      <c r="J9" s="13">
        <f>SUMIF($B$27:$B$1048576,"Date/Fun Money",$C$27:$C$1048576)</f>
        <v>9.7100000000000009</v>
      </c>
    </row>
    <row r="10" spans="1:10">
      <c r="A10"/>
      <c r="C10"/>
      <c r="D10" s="10" t="s">
        <v>11</v>
      </c>
      <c r="E10" s="11">
        <v>63</v>
      </c>
      <c r="F10" s="11">
        <f>SUMIF($B$27:$B$1048576,"Car Wash",$C$27:$C$1048576)</f>
        <v>35</v>
      </c>
      <c r="G10" s="2"/>
      <c r="H10" s="12" t="s">
        <v>12</v>
      </c>
      <c r="I10" s="13">
        <v>80</v>
      </c>
      <c r="J10" s="13">
        <f>SUMIF($B$27:$B$1048576,"Dining Out",$C$27:$C$1048576)</f>
        <v>129.47</v>
      </c>
    </row>
    <row r="11" spans="1:10">
      <c r="A11"/>
      <c r="C11"/>
      <c r="D11" s="10" t="s">
        <v>13</v>
      </c>
      <c r="E11" s="11">
        <v>1250</v>
      </c>
      <c r="F11" s="11">
        <f>SUMIF($B$27:$B$1048576,"Rent",$C$27:$C$1048576)</f>
        <v>0</v>
      </c>
      <c r="G11" s="2"/>
      <c r="H11" s="12" t="s">
        <v>14</v>
      </c>
      <c r="I11" s="13">
        <v>45</v>
      </c>
      <c r="J11" s="13">
        <f>SUMIF($B$27:$B$1048576,"Dogs",$C$27:$C$1048576)</f>
        <v>20</v>
      </c>
    </row>
    <row r="12" spans="1:10">
      <c r="A12"/>
      <c r="C12"/>
      <c r="D12" s="10" t="s">
        <v>15</v>
      </c>
      <c r="E12" s="11">
        <v>120</v>
      </c>
      <c r="F12" s="11">
        <f>SUMIF($B$27:$B$1048576,"Utilities",$C$27:$C$1048576)</f>
        <v>195.26</v>
      </c>
      <c r="G12" s="2"/>
      <c r="H12" s="12" t="s">
        <v>16</v>
      </c>
      <c r="I12" s="13">
        <v>1000</v>
      </c>
      <c r="J12" s="13">
        <f>SUMIF($B$27:$B$1048576,"Emergency Savings",$C$27:$C$1048576)</f>
        <v>1046.5600000000002</v>
      </c>
    </row>
    <row r="13" spans="1:10">
      <c r="A13"/>
      <c r="C13"/>
      <c r="D13" s="10" t="s">
        <v>17</v>
      </c>
      <c r="E13" s="11">
        <v>71.400000000000006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130</v>
      </c>
      <c r="J14" s="13">
        <f>SUMIF($B$27:$B$1048576,"Gas",$C$27:$C$1048576)</f>
        <v>271.65999999999997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563.55000000000007</v>
      </c>
    </row>
    <row r="16" spans="1:10">
      <c r="A16"/>
      <c r="C16"/>
      <c r="D16"/>
      <c r="H16" s="12" t="s">
        <v>22</v>
      </c>
      <c r="I16" s="13">
        <v>300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20</v>
      </c>
    </row>
    <row r="18" spans="1:10">
      <c r="A18"/>
      <c r="C18"/>
      <c r="D18"/>
      <c r="H18" s="12" t="s">
        <v>24</v>
      </c>
      <c r="I18" s="13">
        <v>200</v>
      </c>
      <c r="J18" s="13">
        <f>SUMIF($B$27:$B$1048576,"Shopping",$C$27:$C$1048576)</f>
        <v>0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300</v>
      </c>
      <c r="J20" s="13">
        <f>SUMIF($B$27:$B$1048576,"Travel",$C$27:$C$1048576)</f>
        <v>277.82</v>
      </c>
    </row>
    <row r="21" spans="1:10">
      <c r="A21"/>
      <c r="C21"/>
      <c r="D21"/>
      <c r="H21" s="12" t="s">
        <v>27</v>
      </c>
      <c r="I21" s="13">
        <v>139.72999999999999</v>
      </c>
      <c r="J21" s="13">
        <f>SUMIF($B$27:$B$1048576,"Variables",$C$27:$C$1048576)</f>
        <v>300.04000000000002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2658.9300000000003</v>
      </c>
      <c r="F23" s="2"/>
      <c r="G23" s="2"/>
      <c r="H23" s="6" t="s">
        <v>29</v>
      </c>
      <c r="I23" s="7">
        <f>SUM(I8:I21)</f>
        <v>3374.73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</row>
    <row r="27" spans="1:10">
      <c r="A27" s="5">
        <v>45607</v>
      </c>
      <c r="B27" t="s">
        <v>27</v>
      </c>
      <c r="C27" s="2">
        <v>53.6</v>
      </c>
    </row>
    <row r="28" spans="1:10">
      <c r="A28" s="5">
        <v>45607</v>
      </c>
      <c r="B28" t="s">
        <v>12</v>
      </c>
      <c r="C28" s="2">
        <v>22.34</v>
      </c>
    </row>
    <row r="29" spans="1:10">
      <c r="A29" s="5">
        <v>45606</v>
      </c>
      <c r="B29" t="s">
        <v>21</v>
      </c>
      <c r="C29" s="2">
        <v>18.45</v>
      </c>
    </row>
    <row r="30" spans="1:10">
      <c r="A30" s="5">
        <v>45606</v>
      </c>
      <c r="B30" t="s">
        <v>20</v>
      </c>
      <c r="C30" s="2">
        <v>20.260000000000002</v>
      </c>
    </row>
    <row r="31" spans="1:10">
      <c r="A31" s="5">
        <v>45604</v>
      </c>
      <c r="B31" t="s">
        <v>26</v>
      </c>
      <c r="C31" s="2">
        <v>2.7</v>
      </c>
    </row>
    <row r="32" spans="1:10">
      <c r="A32" s="5">
        <v>45604</v>
      </c>
      <c r="B32" t="s">
        <v>26</v>
      </c>
      <c r="C32" s="2">
        <v>11.97</v>
      </c>
    </row>
    <row r="33" spans="1:3">
      <c r="A33" s="5">
        <v>45604</v>
      </c>
      <c r="B33" t="s">
        <v>26</v>
      </c>
      <c r="C33" s="2">
        <v>19.62</v>
      </c>
    </row>
    <row r="34" spans="1:3">
      <c r="A34" s="5">
        <v>45604</v>
      </c>
      <c r="B34" t="s">
        <v>26</v>
      </c>
      <c r="C34" s="2">
        <v>12.14</v>
      </c>
    </row>
    <row r="35" spans="1:3">
      <c r="A35" s="5">
        <v>45603</v>
      </c>
      <c r="B35" t="s">
        <v>26</v>
      </c>
      <c r="C35" s="2">
        <v>30.9</v>
      </c>
    </row>
    <row r="36" spans="1:3">
      <c r="A36" s="5">
        <v>45603</v>
      </c>
      <c r="B36" t="s">
        <v>26</v>
      </c>
      <c r="C36" s="2">
        <v>5.25</v>
      </c>
    </row>
    <row r="37" spans="1:3">
      <c r="A37" s="5">
        <v>45603</v>
      </c>
      <c r="B37" t="s">
        <v>26</v>
      </c>
      <c r="C37" s="2">
        <v>24.5</v>
      </c>
    </row>
    <row r="38" spans="1:3">
      <c r="A38" s="5">
        <v>45603</v>
      </c>
      <c r="B38" t="s">
        <v>26</v>
      </c>
      <c r="C38" s="2">
        <v>19.62</v>
      </c>
    </row>
    <row r="39" spans="1:3">
      <c r="A39" s="5">
        <v>45602</v>
      </c>
      <c r="B39" t="s">
        <v>26</v>
      </c>
      <c r="C39" s="2">
        <v>18.45</v>
      </c>
    </row>
    <row r="40" spans="1:3">
      <c r="A40" s="5">
        <v>45602</v>
      </c>
      <c r="B40" t="s">
        <v>26</v>
      </c>
      <c r="C40" s="2">
        <v>9.8699999999999992</v>
      </c>
    </row>
    <row r="41" spans="1:3">
      <c r="A41" s="5">
        <v>45602</v>
      </c>
      <c r="B41" t="s">
        <v>26</v>
      </c>
      <c r="C41" s="2">
        <v>12.6</v>
      </c>
    </row>
    <row r="42" spans="1:3">
      <c r="A42" s="5">
        <v>45609</v>
      </c>
      <c r="B42" t="s">
        <v>21</v>
      </c>
      <c r="C42" s="2">
        <v>30.38</v>
      </c>
    </row>
    <row r="43" spans="1:3">
      <c r="A43" s="5">
        <v>45609</v>
      </c>
      <c r="B43" t="s">
        <v>14</v>
      </c>
      <c r="C43" s="2">
        <v>20</v>
      </c>
    </row>
    <row r="44" spans="1:3">
      <c r="A44" s="5">
        <v>45609</v>
      </c>
      <c r="B44" t="s">
        <v>23</v>
      </c>
      <c r="C44" s="2">
        <v>20</v>
      </c>
    </row>
    <row r="45" spans="1:3">
      <c r="A45" s="5">
        <v>45607</v>
      </c>
      <c r="B45" t="s">
        <v>27</v>
      </c>
      <c r="C45" s="2">
        <v>24.14</v>
      </c>
    </row>
    <row r="46" spans="1:3">
      <c r="A46" s="5">
        <v>45607</v>
      </c>
      <c r="B46" t="s">
        <v>20</v>
      </c>
      <c r="C46" s="2">
        <v>55.63</v>
      </c>
    </row>
    <row r="47" spans="1:3">
      <c r="A47" s="5">
        <v>45607</v>
      </c>
      <c r="B47" t="s">
        <v>27</v>
      </c>
      <c r="C47" s="2">
        <v>17.149999999999999</v>
      </c>
    </row>
    <row r="48" spans="1:3">
      <c r="A48" s="5">
        <v>45606</v>
      </c>
      <c r="B48" t="s">
        <v>21</v>
      </c>
      <c r="C48" s="2">
        <v>19.079999999999998</v>
      </c>
    </row>
    <row r="49" spans="1:3">
      <c r="A49" s="5">
        <v>45605</v>
      </c>
      <c r="B49" t="s">
        <v>21</v>
      </c>
      <c r="C49" s="2">
        <v>16.28</v>
      </c>
    </row>
    <row r="50" spans="1:3">
      <c r="A50" s="5">
        <v>45605</v>
      </c>
      <c r="B50" t="s">
        <v>27</v>
      </c>
      <c r="C50" s="2">
        <v>22.99</v>
      </c>
    </row>
    <row r="51" spans="1:3">
      <c r="A51" s="5">
        <v>45603</v>
      </c>
      <c r="B51" t="s">
        <v>27</v>
      </c>
      <c r="C51" s="2">
        <v>6.44</v>
      </c>
    </row>
    <row r="52" spans="1:3">
      <c r="A52" s="5">
        <v>45598</v>
      </c>
      <c r="B52" t="s">
        <v>27</v>
      </c>
      <c r="C52" s="2">
        <v>44.85</v>
      </c>
    </row>
    <row r="53" spans="1:3">
      <c r="A53" s="5">
        <v>45598</v>
      </c>
      <c r="B53" t="s">
        <v>21</v>
      </c>
      <c r="C53" s="2">
        <v>55.78</v>
      </c>
    </row>
    <row r="54" spans="1:3">
      <c r="A54" s="5">
        <v>45598</v>
      </c>
      <c r="B54" t="s">
        <v>27</v>
      </c>
      <c r="C54" s="2">
        <v>114.77</v>
      </c>
    </row>
    <row r="55" spans="1:3">
      <c r="A55" s="5">
        <v>45598</v>
      </c>
      <c r="B55" t="s">
        <v>16</v>
      </c>
      <c r="C55" s="2">
        <v>28.36</v>
      </c>
    </row>
    <row r="56" spans="1:3">
      <c r="A56" s="5">
        <v>45598</v>
      </c>
      <c r="B56" t="s">
        <v>16</v>
      </c>
      <c r="C56" s="2">
        <v>101.16</v>
      </c>
    </row>
    <row r="57" spans="1:3">
      <c r="A57" s="5">
        <v>45598</v>
      </c>
      <c r="B57" t="s">
        <v>21</v>
      </c>
      <c r="C57" s="2">
        <v>37.270000000000003</v>
      </c>
    </row>
    <row r="58" spans="1:3">
      <c r="A58" s="5">
        <v>45598</v>
      </c>
      <c r="B58" t="s">
        <v>21</v>
      </c>
      <c r="C58" s="2">
        <v>3.08</v>
      </c>
    </row>
    <row r="59" spans="1:3">
      <c r="A59" s="5">
        <v>45598</v>
      </c>
      <c r="B59" t="s">
        <v>21</v>
      </c>
      <c r="C59" s="2">
        <v>40.29</v>
      </c>
    </row>
    <row r="60" spans="1:3">
      <c r="A60" s="5">
        <v>45595</v>
      </c>
      <c r="B60" t="s">
        <v>21</v>
      </c>
      <c r="C60" s="2">
        <v>42.49</v>
      </c>
    </row>
    <row r="61" spans="1:3">
      <c r="A61" s="5">
        <v>45595</v>
      </c>
      <c r="B61" t="s">
        <v>21</v>
      </c>
      <c r="C61" s="2">
        <v>95.31</v>
      </c>
    </row>
    <row r="62" spans="1:3">
      <c r="A62" s="5">
        <v>45595</v>
      </c>
      <c r="B62" t="s">
        <v>20</v>
      </c>
      <c r="C62" s="2">
        <v>44.84</v>
      </c>
    </row>
    <row r="63" spans="1:3">
      <c r="A63" s="5">
        <v>45615</v>
      </c>
      <c r="B63" t="s">
        <v>20</v>
      </c>
      <c r="C63" s="2">
        <v>24.53</v>
      </c>
    </row>
    <row r="64" spans="1:3">
      <c r="A64" s="5">
        <v>45615</v>
      </c>
      <c r="B64" t="s">
        <v>15</v>
      </c>
      <c r="C64" s="2">
        <v>80.13</v>
      </c>
    </row>
    <row r="65" spans="1:3">
      <c r="A65" s="5">
        <v>45616</v>
      </c>
      <c r="B65" t="s">
        <v>15</v>
      </c>
      <c r="C65" s="2">
        <v>35</v>
      </c>
    </row>
    <row r="66" spans="1:3">
      <c r="A66" s="5">
        <v>45617</v>
      </c>
      <c r="B66" t="s">
        <v>12</v>
      </c>
      <c r="C66" s="2">
        <v>20.71</v>
      </c>
    </row>
    <row r="67" spans="1:3">
      <c r="A67" s="5">
        <v>45619</v>
      </c>
      <c r="B67" t="s">
        <v>26</v>
      </c>
      <c r="C67" s="2">
        <v>40.51</v>
      </c>
    </row>
    <row r="68" spans="1:3">
      <c r="A68" s="5">
        <v>45619</v>
      </c>
      <c r="B68" t="s">
        <v>26</v>
      </c>
      <c r="C68" s="2">
        <v>14.59</v>
      </c>
    </row>
    <row r="69" spans="1:3">
      <c r="A69" s="5">
        <v>45620</v>
      </c>
      <c r="B69" t="s">
        <v>20</v>
      </c>
      <c r="C69" s="2">
        <v>15</v>
      </c>
    </row>
    <row r="70" spans="1:3">
      <c r="A70" s="5">
        <v>45618</v>
      </c>
      <c r="B70" t="s">
        <v>27</v>
      </c>
      <c r="C70" s="2">
        <v>8.0500000000000007</v>
      </c>
    </row>
    <row r="71" spans="1:3">
      <c r="A71" s="5">
        <v>45612</v>
      </c>
      <c r="B71" t="s">
        <v>12</v>
      </c>
      <c r="C71" s="2">
        <v>19.920000000000002</v>
      </c>
    </row>
    <row r="72" spans="1:3">
      <c r="A72" s="5">
        <v>45615</v>
      </c>
      <c r="B72" t="s">
        <v>20</v>
      </c>
      <c r="C72" s="2">
        <v>24.53</v>
      </c>
    </row>
    <row r="73" spans="1:3">
      <c r="A73" s="5">
        <v>45615</v>
      </c>
      <c r="B73" t="s">
        <v>15</v>
      </c>
      <c r="C73" s="2">
        <v>80.13</v>
      </c>
    </row>
    <row r="74" spans="1:3">
      <c r="A74" s="5">
        <v>45616</v>
      </c>
      <c r="B74" t="s">
        <v>11</v>
      </c>
      <c r="C74" s="2">
        <v>35</v>
      </c>
    </row>
    <row r="75" spans="1:3">
      <c r="A75" s="5">
        <v>45617</v>
      </c>
      <c r="B75" t="s">
        <v>12</v>
      </c>
      <c r="C75" s="2">
        <v>20.71</v>
      </c>
    </row>
    <row r="76" spans="1:3">
      <c r="A76" s="5">
        <v>45620</v>
      </c>
      <c r="B76" t="s">
        <v>26</v>
      </c>
      <c r="C76" s="2">
        <v>14.59</v>
      </c>
    </row>
    <row r="77" spans="1:3">
      <c r="A77" s="5">
        <v>45621</v>
      </c>
      <c r="B77" t="s">
        <v>26</v>
      </c>
      <c r="C77" s="2">
        <v>40.51</v>
      </c>
    </row>
    <row r="78" spans="1:3">
      <c r="A78" s="5">
        <v>45622</v>
      </c>
      <c r="B78" t="s">
        <v>10</v>
      </c>
      <c r="C78" s="2">
        <v>9.7100000000000009</v>
      </c>
    </row>
    <row r="79" spans="1:3">
      <c r="A79" s="5">
        <v>45623</v>
      </c>
      <c r="B79" t="s">
        <v>12</v>
      </c>
      <c r="C79" s="2">
        <v>25.79</v>
      </c>
    </row>
    <row r="80" spans="1:3">
      <c r="A80" s="5">
        <v>45623</v>
      </c>
      <c r="B80" t="s">
        <v>20</v>
      </c>
      <c r="C80" s="2">
        <v>24.22</v>
      </c>
    </row>
    <row r="81" spans="1:5">
      <c r="A81" s="5">
        <v>45624</v>
      </c>
      <c r="B81" t="s">
        <v>16</v>
      </c>
      <c r="C81" s="2">
        <v>32.119999999999997</v>
      </c>
    </row>
    <row r="82" spans="1:5">
      <c r="A82" s="5">
        <v>45625</v>
      </c>
      <c r="B82" t="s">
        <v>16</v>
      </c>
      <c r="C82" s="2">
        <v>40.299999999999997</v>
      </c>
    </row>
    <row r="83" spans="1:5">
      <c r="A83" s="5">
        <v>45626</v>
      </c>
      <c r="B83" t="s">
        <v>20</v>
      </c>
      <c r="C83" s="2">
        <v>7.71</v>
      </c>
    </row>
    <row r="84" spans="1:5">
      <c r="A84" s="5">
        <v>45626</v>
      </c>
      <c r="B84" t="s">
        <v>16</v>
      </c>
      <c r="C84" s="2">
        <v>47.42</v>
      </c>
    </row>
    <row r="85" spans="1:5">
      <c r="A85" s="5">
        <v>45628</v>
      </c>
      <c r="B85" t="s">
        <v>16</v>
      </c>
      <c r="C85" s="2">
        <v>188.05</v>
      </c>
    </row>
    <row r="86" spans="1:5">
      <c r="A86" s="5">
        <v>45628</v>
      </c>
      <c r="B86" t="s">
        <v>16</v>
      </c>
      <c r="C86" s="2">
        <v>24.64</v>
      </c>
    </row>
    <row r="87" spans="1:5">
      <c r="A87" s="5">
        <v>45628</v>
      </c>
      <c r="B87" t="s">
        <v>16</v>
      </c>
      <c r="C87" s="2">
        <v>101.21</v>
      </c>
    </row>
    <row r="88" spans="1:5">
      <c r="A88" s="5">
        <v>45611</v>
      </c>
      <c r="B88" t="s">
        <v>21</v>
      </c>
      <c r="C88" s="2">
        <v>71.290000000000006</v>
      </c>
      <c r="E88" t="s">
        <v>34</v>
      </c>
    </row>
    <row r="89" spans="1:5">
      <c r="A89" s="5">
        <v>45611</v>
      </c>
      <c r="B89" t="s">
        <v>16</v>
      </c>
      <c r="C89" s="2">
        <v>7.76</v>
      </c>
    </row>
    <row r="90" spans="1:5">
      <c r="A90" s="5">
        <v>45611</v>
      </c>
      <c r="B90" t="s">
        <v>21</v>
      </c>
      <c r="C90" s="2">
        <v>31.57</v>
      </c>
    </row>
    <row r="91" spans="1:5">
      <c r="A91" s="5">
        <v>45612</v>
      </c>
      <c r="B91" t="s">
        <v>12</v>
      </c>
      <c r="C91" s="2">
        <v>20</v>
      </c>
    </row>
    <row r="92" spans="1:5">
      <c r="A92" s="5">
        <v>45618</v>
      </c>
      <c r="B92" t="s">
        <v>27</v>
      </c>
      <c r="C92" s="2">
        <v>8.0500000000000007</v>
      </c>
    </row>
    <row r="93" spans="1:5">
      <c r="A93" s="5">
        <v>45620</v>
      </c>
      <c r="B93" t="s">
        <v>20</v>
      </c>
      <c r="C93" s="2">
        <v>15</v>
      </c>
    </row>
    <row r="94" spans="1:5">
      <c r="A94" s="5">
        <v>45621</v>
      </c>
      <c r="B94" t="s">
        <v>16</v>
      </c>
      <c r="C94" s="2">
        <v>240.96</v>
      </c>
    </row>
    <row r="95" spans="1:5">
      <c r="A95" s="5">
        <v>45621</v>
      </c>
      <c r="B95" t="s">
        <v>21</v>
      </c>
      <c r="C95" s="2">
        <v>14.84</v>
      </c>
    </row>
    <row r="96" spans="1:5">
      <c r="A96" s="5">
        <v>45622</v>
      </c>
      <c r="B96" t="s">
        <v>20</v>
      </c>
      <c r="C96" s="2">
        <v>39.94</v>
      </c>
    </row>
    <row r="97" spans="1:3">
      <c r="A97" s="5">
        <v>45622</v>
      </c>
      <c r="B97" t="s">
        <v>21</v>
      </c>
      <c r="C97" s="2">
        <v>65.86</v>
      </c>
    </row>
    <row r="98" spans="1:3">
      <c r="A98" s="5">
        <v>45622</v>
      </c>
      <c r="B98" t="s">
        <v>21</v>
      </c>
      <c r="C98" s="2">
        <v>21.58</v>
      </c>
    </row>
    <row r="99" spans="1:3">
      <c r="A99" s="5">
        <v>45623</v>
      </c>
      <c r="B99" t="s">
        <v>16</v>
      </c>
      <c r="C99" s="2">
        <v>8.58</v>
      </c>
    </row>
    <row r="100" spans="1:3">
      <c r="A100" s="5">
        <v>45623</v>
      </c>
      <c r="B100" t="s">
        <v>16</v>
      </c>
      <c r="C100" s="2">
        <v>101.63</v>
      </c>
    </row>
    <row r="101" spans="1:3">
      <c r="A101" s="5">
        <v>45625</v>
      </c>
      <c r="B101" t="s">
        <v>16</v>
      </c>
      <c r="C101" s="2">
        <v>63.34</v>
      </c>
    </row>
    <row r="102" spans="1:3">
      <c r="A102" s="5">
        <v>45632</v>
      </c>
      <c r="B102" t="s">
        <v>16</v>
      </c>
      <c r="C102" s="2">
        <v>26.87</v>
      </c>
    </row>
    <row r="103" spans="1:3">
      <c r="A103" s="5">
        <v>45632</v>
      </c>
      <c r="B103" t="s">
        <v>16</v>
      </c>
      <c r="C103" s="2">
        <v>34.159999999999997</v>
      </c>
    </row>
  </sheetData>
  <dataValidations count="1">
    <dataValidation type="list" allowBlank="1" showInputMessage="1" showErrorMessage="1" sqref="D27:D1048576" xr:uid="{205718FC-E9C6-4C7E-B999-4E7E9192136B}">
      <formula1>"Chase, SchoolsFirst"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A9A72A-B0F1-4808-900C-C26A5B937220}">
          <x14:formula1>
            <xm:f>Sheet2!$A$1:$A$20</xm:f>
          </x14:formula1>
          <xm:sqref>B27:B1048576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opLeftCell="A80" workbookViewId="0">
      <selection activeCell="C93" sqref="C93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4953.8999999999996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128.03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83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32.46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44.84</v>
      </c>
      <c r="G12" s="2"/>
      <c r="H12" s="12" t="s">
        <v>16</v>
      </c>
      <c r="I12" s="13">
        <v>500</v>
      </c>
      <c r="J12" s="13">
        <f>SUMIF($B$27:$B$1048576,"Emergency Savings",$C$27:$C$1048576)</f>
        <v>1181.3399999999999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144.38000000000002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671.3900000000001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0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281.49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1599.7100000000003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110.16000000000001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A27" s="5">
        <v>45628</v>
      </c>
      <c r="B27" t="s">
        <v>20</v>
      </c>
      <c r="C27" s="2">
        <v>6.44</v>
      </c>
      <c r="F27" t="s">
        <v>38</v>
      </c>
    </row>
    <row r="28" spans="1:10">
      <c r="A28" s="5">
        <v>45628</v>
      </c>
      <c r="B28" t="s">
        <v>21</v>
      </c>
      <c r="C28" s="2">
        <v>41.09</v>
      </c>
      <c r="G28" s="2"/>
    </row>
    <row r="29" spans="1:10" ht="24.75">
      <c r="A29" s="5">
        <v>45629</v>
      </c>
      <c r="B29" t="s">
        <v>21</v>
      </c>
      <c r="C29" s="2">
        <v>26.81</v>
      </c>
      <c r="F29" s="6" t="s">
        <v>39</v>
      </c>
      <c r="G29" s="7">
        <f>SUM(E8,E14,I9,I18,I21,I14,I11,I10)</f>
        <v>1428.1</v>
      </c>
    </row>
    <row r="30" spans="1:10">
      <c r="A30" s="5">
        <v>45630</v>
      </c>
      <c r="B30" t="s">
        <v>27</v>
      </c>
      <c r="C30" s="2">
        <v>7.08</v>
      </c>
      <c r="F30" t="s">
        <v>40</v>
      </c>
    </row>
    <row r="31" spans="1:10">
      <c r="A31" s="5">
        <v>45630</v>
      </c>
      <c r="B31" t="s">
        <v>16</v>
      </c>
      <c r="C31" s="2">
        <v>182.65</v>
      </c>
    </row>
    <row r="32" spans="1:10">
      <c r="A32" s="5">
        <v>45630</v>
      </c>
      <c r="B32" t="s">
        <v>16</v>
      </c>
      <c r="C32" s="2">
        <v>2.65</v>
      </c>
    </row>
    <row r="33" spans="1:7" ht="24.75">
      <c r="A33" s="5">
        <v>45631</v>
      </c>
      <c r="B33" t="s">
        <v>27</v>
      </c>
      <c r="C33" s="2">
        <v>41.17</v>
      </c>
      <c r="F33" s="6" t="s">
        <v>41</v>
      </c>
      <c r="G33" s="7">
        <f>SUM(E10,I8,I12,I13,I17,I19,I20)</f>
        <v>1265</v>
      </c>
    </row>
    <row r="34" spans="1:7">
      <c r="A34" s="5">
        <v>45631</v>
      </c>
      <c r="B34" t="s">
        <v>24</v>
      </c>
      <c r="C34" s="2">
        <v>200.42</v>
      </c>
      <c r="F34" t="s">
        <v>42</v>
      </c>
    </row>
    <row r="35" spans="1:7">
      <c r="A35" s="5">
        <v>45634</v>
      </c>
      <c r="B35" t="s">
        <v>10</v>
      </c>
      <c r="C35" s="2">
        <v>96.98</v>
      </c>
    </row>
    <row r="36" spans="1:7">
      <c r="A36" s="5">
        <v>45634</v>
      </c>
      <c r="B36" t="s">
        <v>14</v>
      </c>
      <c r="C36" s="2">
        <v>12.88</v>
      </c>
    </row>
    <row r="37" spans="1:7">
      <c r="A37" s="5">
        <v>45634</v>
      </c>
      <c r="B37" t="s">
        <v>10</v>
      </c>
      <c r="C37" s="2">
        <v>16.97</v>
      </c>
    </row>
    <row r="38" spans="1:7">
      <c r="A38" s="5">
        <v>45636</v>
      </c>
      <c r="B38" t="s">
        <v>20</v>
      </c>
      <c r="C38" s="2">
        <v>15.25</v>
      </c>
    </row>
    <row r="39" spans="1:7">
      <c r="A39" s="5">
        <v>45637</v>
      </c>
      <c r="B39" t="s">
        <v>20</v>
      </c>
      <c r="C39" s="2">
        <v>15.13</v>
      </c>
    </row>
    <row r="40" spans="1:7">
      <c r="A40" s="5">
        <v>45639</v>
      </c>
      <c r="B40" t="s">
        <v>12</v>
      </c>
      <c r="C40" s="2">
        <v>15.78</v>
      </c>
    </row>
    <row r="41" spans="1:7">
      <c r="A41" s="5">
        <v>45639</v>
      </c>
      <c r="B41" t="s">
        <v>20</v>
      </c>
      <c r="C41" s="2">
        <v>20.27</v>
      </c>
    </row>
    <row r="42" spans="1:7">
      <c r="A42" s="5">
        <v>45639</v>
      </c>
      <c r="B42" t="s">
        <v>12</v>
      </c>
      <c r="C42" s="2">
        <v>26.69</v>
      </c>
    </row>
    <row r="43" spans="1:7">
      <c r="A43" s="5">
        <v>45640</v>
      </c>
      <c r="B43" t="s">
        <v>27</v>
      </c>
      <c r="C43" s="2">
        <v>13.95</v>
      </c>
    </row>
    <row r="44" spans="1:7">
      <c r="A44" s="5">
        <v>45627</v>
      </c>
      <c r="B44" t="s">
        <v>21</v>
      </c>
      <c r="C44" s="2">
        <v>139.43</v>
      </c>
    </row>
    <row r="45" spans="1:7">
      <c r="A45" s="5">
        <v>45629</v>
      </c>
      <c r="B45" t="s">
        <v>16</v>
      </c>
      <c r="C45" s="2">
        <v>39.74</v>
      </c>
    </row>
    <row r="46" spans="1:7">
      <c r="A46" s="5">
        <v>45630</v>
      </c>
      <c r="B46" t="s">
        <v>27</v>
      </c>
      <c r="C46" s="2">
        <v>6.32</v>
      </c>
    </row>
    <row r="47" spans="1:7">
      <c r="A47" s="5">
        <v>45631</v>
      </c>
      <c r="B47" t="s">
        <v>27</v>
      </c>
      <c r="C47" s="2">
        <v>7.06</v>
      </c>
    </row>
    <row r="48" spans="1:7">
      <c r="A48" s="5">
        <v>45631</v>
      </c>
      <c r="B48" t="s">
        <v>20</v>
      </c>
      <c r="C48" s="2">
        <v>24.92</v>
      </c>
    </row>
    <row r="49" spans="1:5">
      <c r="A49" s="5">
        <v>45632</v>
      </c>
      <c r="B49" t="s">
        <v>21</v>
      </c>
      <c r="C49" s="2">
        <v>111.15</v>
      </c>
    </row>
    <row r="50" spans="1:5">
      <c r="A50" s="5">
        <v>45632</v>
      </c>
      <c r="B50" t="s">
        <v>21</v>
      </c>
      <c r="C50" s="2">
        <v>87.39</v>
      </c>
    </row>
    <row r="51" spans="1:5">
      <c r="A51" s="5">
        <v>45632</v>
      </c>
      <c r="B51" t="s">
        <v>21</v>
      </c>
      <c r="C51" s="2">
        <v>35.1</v>
      </c>
    </row>
    <row r="52" spans="1:5">
      <c r="A52" s="5">
        <v>45633</v>
      </c>
      <c r="B52" t="s">
        <v>27</v>
      </c>
      <c r="C52" s="2">
        <v>6.44</v>
      </c>
    </row>
    <row r="53" spans="1:5">
      <c r="A53" s="5">
        <v>45633</v>
      </c>
      <c r="B53" t="s">
        <v>21</v>
      </c>
      <c r="C53" s="2">
        <v>58</v>
      </c>
    </row>
    <row r="54" spans="1:5">
      <c r="A54" s="5">
        <v>45633</v>
      </c>
      <c r="B54" t="s">
        <v>21</v>
      </c>
      <c r="C54" s="2">
        <v>12.24</v>
      </c>
    </row>
    <row r="55" spans="1:5">
      <c r="A55" s="5">
        <v>45634</v>
      </c>
      <c r="B55" t="s">
        <v>16</v>
      </c>
      <c r="C55" s="2">
        <v>65.680000000000007</v>
      </c>
    </row>
    <row r="56" spans="1:5">
      <c r="A56" s="5">
        <v>45635</v>
      </c>
      <c r="B56" t="s">
        <v>27</v>
      </c>
      <c r="C56" s="2">
        <v>22.99</v>
      </c>
    </row>
    <row r="57" spans="1:5">
      <c r="A57" s="5">
        <v>45635</v>
      </c>
      <c r="B57" t="s">
        <v>20</v>
      </c>
      <c r="C57" s="2">
        <v>10.01</v>
      </c>
    </row>
    <row r="58" spans="1:5">
      <c r="A58" s="5">
        <v>45637</v>
      </c>
      <c r="B58" t="s">
        <v>21</v>
      </c>
      <c r="C58" s="2">
        <v>19.579999999999998</v>
      </c>
      <c r="D58" s="2" t="s">
        <v>43</v>
      </c>
    </row>
    <row r="59" spans="1:5">
      <c r="A59" s="5">
        <v>45639</v>
      </c>
      <c r="B59" t="s">
        <v>20</v>
      </c>
      <c r="C59" s="2">
        <v>26.18</v>
      </c>
    </row>
    <row r="60" spans="1:5">
      <c r="A60" s="5">
        <v>45639</v>
      </c>
      <c r="B60" t="s">
        <v>21</v>
      </c>
      <c r="C60" s="2">
        <v>69.430000000000007</v>
      </c>
    </row>
    <row r="61" spans="1:5">
      <c r="A61" s="5">
        <v>45641</v>
      </c>
      <c r="B61" t="s">
        <v>16</v>
      </c>
      <c r="C61" s="2">
        <v>149.27000000000001</v>
      </c>
    </row>
    <row r="62" spans="1:5">
      <c r="A62" s="5">
        <v>45641</v>
      </c>
      <c r="B62" t="s">
        <v>12</v>
      </c>
      <c r="C62" s="2">
        <v>28.69</v>
      </c>
    </row>
    <row r="63" spans="1:5">
      <c r="A63" s="5">
        <v>45641</v>
      </c>
      <c r="B63" t="s">
        <v>27</v>
      </c>
      <c r="C63" s="2">
        <v>5.15</v>
      </c>
    </row>
    <row r="64" spans="1:5">
      <c r="A64" s="5">
        <v>45643</v>
      </c>
      <c r="B64" t="s">
        <v>16</v>
      </c>
      <c r="C64" s="2">
        <v>279</v>
      </c>
      <c r="E64" t="s">
        <v>44</v>
      </c>
    </row>
    <row r="65" spans="1:5">
      <c r="A65" s="5">
        <v>45644</v>
      </c>
      <c r="B65" t="s">
        <v>16</v>
      </c>
      <c r="C65" s="2">
        <v>386.09</v>
      </c>
    </row>
    <row r="66" spans="1:5">
      <c r="A66" s="5">
        <v>45643</v>
      </c>
      <c r="B66" t="s">
        <v>12</v>
      </c>
      <c r="C66" s="2">
        <v>11.84</v>
      </c>
    </row>
    <row r="67" spans="1:5">
      <c r="A67" s="5">
        <v>45645</v>
      </c>
      <c r="B67" t="s">
        <v>10</v>
      </c>
      <c r="C67" s="2">
        <v>14.08</v>
      </c>
    </row>
    <row r="68" spans="1:5">
      <c r="A68" s="5">
        <v>45645</v>
      </c>
      <c r="B68" t="s">
        <v>16</v>
      </c>
      <c r="C68" s="2">
        <v>76.260000000000005</v>
      </c>
      <c r="E68" t="s">
        <v>45</v>
      </c>
    </row>
    <row r="69" spans="1:5">
      <c r="A69" s="5">
        <v>45646</v>
      </c>
      <c r="B69" t="s">
        <v>26</v>
      </c>
      <c r="C69" s="2">
        <v>6.6</v>
      </c>
      <c r="E69" t="s">
        <v>46</v>
      </c>
    </row>
    <row r="70" spans="1:5">
      <c r="A70" s="5">
        <v>45646</v>
      </c>
      <c r="B70" t="s">
        <v>26</v>
      </c>
      <c r="C70" s="2">
        <v>3.59</v>
      </c>
      <c r="E70" t="s">
        <v>46</v>
      </c>
    </row>
    <row r="71" spans="1:5">
      <c r="A71" s="5">
        <v>45646</v>
      </c>
      <c r="B71" t="s">
        <v>26</v>
      </c>
      <c r="C71" s="2">
        <v>33.74</v>
      </c>
      <c r="E71" t="s">
        <v>46</v>
      </c>
    </row>
    <row r="72" spans="1:5">
      <c r="A72" s="5">
        <v>45646</v>
      </c>
      <c r="B72" t="s">
        <v>11</v>
      </c>
      <c r="C72" s="2">
        <v>35</v>
      </c>
    </row>
    <row r="73" spans="1:5">
      <c r="A73" s="5">
        <v>45648</v>
      </c>
      <c r="B73" t="s">
        <v>26</v>
      </c>
      <c r="C73" s="2">
        <v>23.44</v>
      </c>
      <c r="E73" t="s">
        <v>46</v>
      </c>
    </row>
    <row r="74" spans="1:5">
      <c r="A74" s="5">
        <v>45648</v>
      </c>
      <c r="B74" t="s">
        <v>26</v>
      </c>
      <c r="C74" s="2">
        <v>20.05</v>
      </c>
      <c r="E74" t="s">
        <v>46</v>
      </c>
    </row>
    <row r="75" spans="1:5">
      <c r="A75" s="5">
        <v>45648</v>
      </c>
      <c r="B75" t="s">
        <v>26</v>
      </c>
      <c r="C75" s="2">
        <v>29.13</v>
      </c>
      <c r="E75" t="s">
        <v>46</v>
      </c>
    </row>
    <row r="76" spans="1:5">
      <c r="A76" s="5">
        <v>45648</v>
      </c>
      <c r="B76" t="s">
        <v>26</v>
      </c>
      <c r="C76" s="2">
        <v>32.799999999999997</v>
      </c>
      <c r="E76" t="s">
        <v>46</v>
      </c>
    </row>
    <row r="77" spans="1:5">
      <c r="A77" s="5">
        <v>45648</v>
      </c>
      <c r="B77" t="s">
        <v>26</v>
      </c>
      <c r="C77" s="2">
        <v>36.47</v>
      </c>
      <c r="E77" t="s">
        <v>46</v>
      </c>
    </row>
    <row r="78" spans="1:5">
      <c r="A78" s="5">
        <v>45648</v>
      </c>
      <c r="B78" t="s">
        <v>26</v>
      </c>
      <c r="C78" s="2">
        <v>31.7</v>
      </c>
      <c r="E78" t="s">
        <v>46</v>
      </c>
    </row>
    <row r="79" spans="1:5">
      <c r="A79" s="5">
        <v>45651</v>
      </c>
      <c r="B79" t="s">
        <v>15</v>
      </c>
      <c r="C79" s="2">
        <v>44.84</v>
      </c>
    </row>
    <row r="80" spans="1:5">
      <c r="A80" s="5">
        <v>45653</v>
      </c>
      <c r="B80" t="s">
        <v>26</v>
      </c>
      <c r="C80" s="2">
        <v>52.53</v>
      </c>
      <c r="E80" t="s">
        <v>46</v>
      </c>
    </row>
    <row r="81" spans="1:5">
      <c r="A81" s="5">
        <v>45637</v>
      </c>
      <c r="B81" t="s">
        <v>14</v>
      </c>
      <c r="C81" s="2">
        <v>19.579999999999998</v>
      </c>
      <c r="D81" s="2" t="s">
        <v>47</v>
      </c>
    </row>
    <row r="82" spans="1:5">
      <c r="A82" s="5">
        <v>45639</v>
      </c>
      <c r="B82" t="s">
        <v>20</v>
      </c>
      <c r="C82" s="2">
        <v>26.18</v>
      </c>
      <c r="E82" t="s">
        <v>48</v>
      </c>
    </row>
    <row r="83" spans="1:5">
      <c r="A83" s="5">
        <v>45639</v>
      </c>
      <c r="B83" t="s">
        <v>21</v>
      </c>
      <c r="C83" s="2">
        <v>69.430000000000007</v>
      </c>
      <c r="E83" t="s">
        <v>48</v>
      </c>
    </row>
    <row r="84" spans="1:5">
      <c r="A84" s="5">
        <v>45642</v>
      </c>
      <c r="B84" t="s">
        <v>26</v>
      </c>
      <c r="C84" s="2">
        <v>29.37</v>
      </c>
      <c r="E84" t="s">
        <v>46</v>
      </c>
    </row>
    <row r="85" spans="1:5">
      <c r="A85" s="5">
        <v>45642</v>
      </c>
      <c r="B85" t="s">
        <v>26</v>
      </c>
      <c r="C85" s="2">
        <v>32.619999999999997</v>
      </c>
      <c r="E85" t="s">
        <v>46</v>
      </c>
    </row>
    <row r="86" spans="1:5">
      <c r="A86" s="5">
        <v>45642</v>
      </c>
      <c r="B86" t="s">
        <v>26</v>
      </c>
      <c r="C86" s="2">
        <v>17.149999999999999</v>
      </c>
      <c r="E86" t="s">
        <v>46</v>
      </c>
    </row>
    <row r="87" spans="1:5">
      <c r="A87" s="5">
        <v>45643</v>
      </c>
      <c r="B87" t="s">
        <v>26</v>
      </c>
      <c r="C87" s="2">
        <v>870.04</v>
      </c>
      <c r="E87" t="s">
        <v>46</v>
      </c>
    </row>
    <row r="88" spans="1:5">
      <c r="A88" s="5">
        <v>45643</v>
      </c>
      <c r="B88" t="s">
        <v>26</v>
      </c>
      <c r="C88" s="2">
        <v>142.86000000000001</v>
      </c>
      <c r="E88" t="s">
        <v>46</v>
      </c>
    </row>
    <row r="89" spans="1:5">
      <c r="A89" s="5">
        <v>45643</v>
      </c>
      <c r="B89" t="s">
        <v>26</v>
      </c>
      <c r="C89" s="2">
        <v>67.02</v>
      </c>
      <c r="E89" t="s">
        <v>46</v>
      </c>
    </row>
    <row r="90" spans="1:5">
      <c r="A90" s="5">
        <v>45643</v>
      </c>
      <c r="B90" t="s">
        <v>24</v>
      </c>
      <c r="C90" s="2">
        <v>81.069999999999993</v>
      </c>
    </row>
    <row r="91" spans="1:5">
      <c r="A91" s="5">
        <v>45643</v>
      </c>
      <c r="B91" t="s">
        <v>26</v>
      </c>
      <c r="C91" s="2">
        <v>40.49</v>
      </c>
      <c r="E91" t="s">
        <v>46</v>
      </c>
    </row>
    <row r="92" spans="1:5">
      <c r="A92" s="5">
        <v>45643</v>
      </c>
      <c r="B92" t="s">
        <v>26</v>
      </c>
      <c r="C92" s="2">
        <v>37.39</v>
      </c>
      <c r="E92" t="s">
        <v>46</v>
      </c>
    </row>
    <row r="93" spans="1:5">
      <c r="A93" s="5">
        <v>45644</v>
      </c>
      <c r="B93" t="s">
        <v>21</v>
      </c>
      <c r="C93" s="2">
        <v>1.74</v>
      </c>
    </row>
    <row r="94" spans="1:5">
      <c r="A94" s="5">
        <v>45645</v>
      </c>
      <c r="B94" t="s">
        <v>26</v>
      </c>
      <c r="C94" s="2">
        <v>33.96</v>
      </c>
      <c r="E94" t="s">
        <v>46</v>
      </c>
    </row>
    <row r="95" spans="1:5">
      <c r="A95" s="5">
        <v>45645</v>
      </c>
      <c r="B95" t="s">
        <v>26</v>
      </c>
      <c r="C95" s="2">
        <v>29.91</v>
      </c>
      <c r="E95" t="s">
        <v>46</v>
      </c>
    </row>
    <row r="96" spans="1:5">
      <c r="A96" s="5">
        <v>45648</v>
      </c>
      <c r="B96" t="s">
        <v>26</v>
      </c>
      <c r="C96" s="2">
        <v>28.85</v>
      </c>
      <c r="E96" t="s">
        <v>46</v>
      </c>
    </row>
  </sheetData>
  <sortState xmlns:xlrd2="http://schemas.microsoft.com/office/spreadsheetml/2017/richdata2" ref="H8:I21">
    <sortCondition ref="H8:H21"/>
  </sortState>
  <dataValidations count="2">
    <dataValidation type="list" allowBlank="1" showInputMessage="1" showErrorMessage="1" sqref="D27:D1048576" xr:uid="{C400671F-EACF-4B5D-831A-83916051F7BA}">
      <formula1>"Chase, SchoolsFirst"</formula1>
    </dataValidation>
    <dataValidation type="list" allowBlank="1" showInputMessage="1" showErrorMessage="1" sqref="B27:B1048576" xr:uid="{A286162F-EC1E-4FFE-8A02-6F7BB60D1DD9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51B8-36B4-4D46-A827-2487FF6E573B}">
  <dimension ref="A1:A20"/>
  <sheetViews>
    <sheetView workbookViewId="0">
      <selection activeCell="D9" sqref="D9"/>
    </sheetView>
  </sheetViews>
  <sheetFormatPr defaultRowHeight="15"/>
  <sheetData>
    <row r="1" spans="1:1">
      <c r="A1" t="s">
        <v>7</v>
      </c>
    </row>
    <row r="2" spans="1:1">
      <c r="A2" t="s">
        <v>9</v>
      </c>
    </row>
    <row r="3" spans="1:1">
      <c r="A3" t="s">
        <v>8</v>
      </c>
    </row>
    <row r="4" spans="1:1">
      <c r="A4" t="s">
        <v>11</v>
      </c>
    </row>
    <row r="5" spans="1:1">
      <c r="A5" t="s">
        <v>10</v>
      </c>
    </row>
    <row r="6" spans="1:1">
      <c r="A6" t="s">
        <v>12</v>
      </c>
    </row>
    <row r="7" spans="1:1">
      <c r="A7" t="s">
        <v>14</v>
      </c>
    </row>
    <row r="8" spans="1:1">
      <c r="A8" t="s">
        <v>16</v>
      </c>
    </row>
    <row r="9" spans="1:1">
      <c r="A9" t="s">
        <v>18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13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15</v>
      </c>
    </row>
    <row r="19" spans="1:1">
      <c r="A19" t="s">
        <v>27</v>
      </c>
    </row>
    <row r="20" spans="1:1">
      <c r="A20" t="s">
        <v>17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F499-FBBB-4DE5-B028-CD97925B0E67}">
  <dimension ref="A1:J87"/>
  <sheetViews>
    <sheetView workbookViewId="0"/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4007.0599999999995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55.72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67.099999999999994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4.29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346.57</v>
      </c>
      <c r="G12" s="2"/>
      <c r="H12" s="12" t="s">
        <v>16</v>
      </c>
      <c r="I12" s="13">
        <v>500</v>
      </c>
      <c r="J12" s="13">
        <f>SUMIF($B$27:$B$1048576,"Emergency Savings",$C$27:$C$1048576)</f>
        <v>1749.57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102.74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534.46999999999991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0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27.38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4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315.21000000000004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122.91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A27" s="5">
        <v>45660</v>
      </c>
      <c r="B27" t="s">
        <v>26</v>
      </c>
      <c r="C27" s="2">
        <v>5.43</v>
      </c>
      <c r="D27" s="2" t="s">
        <v>43</v>
      </c>
      <c r="E27" t="s">
        <v>46</v>
      </c>
      <c r="F27" t="s">
        <v>38</v>
      </c>
    </row>
    <row r="28" spans="1:10">
      <c r="A28" s="5">
        <v>45660</v>
      </c>
      <c r="B28" t="s">
        <v>21</v>
      </c>
      <c r="C28" s="2">
        <v>41.18</v>
      </c>
      <c r="G28" s="2"/>
    </row>
    <row r="29" spans="1:10" ht="24.75">
      <c r="A29" s="5">
        <v>45660</v>
      </c>
      <c r="B29" t="s">
        <v>26</v>
      </c>
      <c r="C29" s="2">
        <v>21.65</v>
      </c>
      <c r="E29" t="s">
        <v>46</v>
      </c>
      <c r="F29" s="6" t="s">
        <v>39</v>
      </c>
      <c r="G29" s="7">
        <f>SUM(E8,E14,I9,I18,I21,I14,I11,I10)</f>
        <v>1428.1</v>
      </c>
    </row>
    <row r="30" spans="1:10">
      <c r="A30" s="5">
        <v>45660</v>
      </c>
      <c r="B30" t="s">
        <v>26</v>
      </c>
      <c r="C30" s="2">
        <v>34.880000000000003</v>
      </c>
      <c r="E30" t="s">
        <v>46</v>
      </c>
      <c r="F30" t="s">
        <v>40</v>
      </c>
    </row>
    <row r="31" spans="1:10">
      <c r="A31" s="5">
        <v>45660</v>
      </c>
      <c r="B31" t="s">
        <v>26</v>
      </c>
      <c r="C31" s="2">
        <v>38.57</v>
      </c>
      <c r="E31" t="s">
        <v>46</v>
      </c>
    </row>
    <row r="32" spans="1:10">
      <c r="A32" s="5">
        <v>45662</v>
      </c>
      <c r="B32" t="s">
        <v>26</v>
      </c>
      <c r="C32" s="2">
        <v>25.22</v>
      </c>
      <c r="E32" t="s">
        <v>46</v>
      </c>
    </row>
    <row r="33" spans="1:7" ht="24.75">
      <c r="A33" s="5">
        <v>45662</v>
      </c>
      <c r="B33" t="s">
        <v>26</v>
      </c>
      <c r="C33" s="2">
        <v>34.69</v>
      </c>
      <c r="E33" t="s">
        <v>46</v>
      </c>
      <c r="F33" s="6" t="s">
        <v>41</v>
      </c>
      <c r="G33" s="7">
        <f>SUM(E10,I8,I12,I13,I17,I19,I20)</f>
        <v>1265</v>
      </c>
    </row>
    <row r="34" spans="1:7">
      <c r="A34" s="5">
        <v>45662</v>
      </c>
      <c r="B34" t="s">
        <v>16</v>
      </c>
      <c r="C34" s="2">
        <v>197.71</v>
      </c>
      <c r="F34" t="s">
        <v>42</v>
      </c>
    </row>
    <row r="35" spans="1:7">
      <c r="A35" s="5">
        <v>45662</v>
      </c>
      <c r="B35" t="s">
        <v>26</v>
      </c>
      <c r="C35" s="2">
        <v>22.75</v>
      </c>
      <c r="E35" t="s">
        <v>46</v>
      </c>
    </row>
    <row r="36" spans="1:7">
      <c r="A36" s="5">
        <v>45662</v>
      </c>
      <c r="B36" t="s">
        <v>21</v>
      </c>
      <c r="C36" s="2">
        <v>85.55</v>
      </c>
    </row>
    <row r="37" spans="1:7">
      <c r="A37" s="5">
        <v>45662</v>
      </c>
      <c r="B37" t="s">
        <v>26</v>
      </c>
      <c r="C37" s="2">
        <v>36.86</v>
      </c>
      <c r="E37" t="s">
        <v>46</v>
      </c>
    </row>
    <row r="38" spans="1:7">
      <c r="A38" s="5">
        <v>45662</v>
      </c>
      <c r="B38" t="s">
        <v>16</v>
      </c>
      <c r="C38" s="2">
        <v>12.88</v>
      </c>
    </row>
    <row r="39" spans="1:7">
      <c r="A39" s="5">
        <v>45662</v>
      </c>
      <c r="B39" t="s">
        <v>26</v>
      </c>
      <c r="C39" s="2">
        <v>38.69</v>
      </c>
      <c r="E39" t="s">
        <v>46</v>
      </c>
    </row>
    <row r="40" spans="1:7">
      <c r="A40" s="5">
        <v>45662</v>
      </c>
      <c r="B40" t="s">
        <v>26</v>
      </c>
      <c r="C40" s="2">
        <v>33.35</v>
      </c>
      <c r="E40" t="s">
        <v>46</v>
      </c>
    </row>
    <row r="41" spans="1:7">
      <c r="A41" s="5">
        <v>45662</v>
      </c>
      <c r="B41" t="s">
        <v>26</v>
      </c>
      <c r="C41" s="2">
        <v>11.51</v>
      </c>
      <c r="E41" t="s">
        <v>46</v>
      </c>
    </row>
    <row r="42" spans="1:7">
      <c r="A42" s="5">
        <v>45662</v>
      </c>
      <c r="B42" t="s">
        <v>26</v>
      </c>
      <c r="C42" s="2">
        <v>11.61</v>
      </c>
      <c r="E42" t="s">
        <v>46</v>
      </c>
    </row>
    <row r="43" spans="1:7">
      <c r="A43" s="5">
        <v>45661</v>
      </c>
      <c r="B43" t="s">
        <v>21</v>
      </c>
      <c r="C43" s="2">
        <v>95.19</v>
      </c>
      <c r="D43" s="2" t="s">
        <v>47</v>
      </c>
    </row>
    <row r="44" spans="1:7">
      <c r="A44" s="5">
        <v>45663</v>
      </c>
      <c r="B44" t="s">
        <v>16</v>
      </c>
      <c r="C44" s="2">
        <v>209.52</v>
      </c>
      <c r="E44" t="s">
        <v>46</v>
      </c>
    </row>
    <row r="45" spans="1:7">
      <c r="A45" s="5">
        <v>45664</v>
      </c>
      <c r="B45" t="s">
        <v>27</v>
      </c>
      <c r="C45" s="2">
        <v>6.44</v>
      </c>
    </row>
    <row r="46" spans="1:7">
      <c r="A46" s="5">
        <v>45665</v>
      </c>
      <c r="B46" t="s">
        <v>16</v>
      </c>
      <c r="C46" s="2">
        <v>429.79</v>
      </c>
    </row>
    <row r="47" spans="1:7">
      <c r="A47" s="5">
        <v>45665</v>
      </c>
      <c r="B47" t="s">
        <v>20</v>
      </c>
      <c r="C47" s="2">
        <v>37.15</v>
      </c>
    </row>
    <row r="48" spans="1:7">
      <c r="A48" s="5">
        <v>45665</v>
      </c>
      <c r="B48" t="s">
        <v>21</v>
      </c>
      <c r="C48" s="2">
        <v>121.88</v>
      </c>
    </row>
    <row r="49" spans="1:5">
      <c r="A49" s="5">
        <v>45665</v>
      </c>
      <c r="B49" t="s">
        <v>21</v>
      </c>
      <c r="C49" s="2">
        <v>32.659999999999997</v>
      </c>
    </row>
    <row r="50" spans="1:5">
      <c r="A50" s="5">
        <v>45665</v>
      </c>
      <c r="B50" t="s">
        <v>16</v>
      </c>
      <c r="C50" s="2">
        <v>9.1999999999999993</v>
      </c>
    </row>
    <row r="51" spans="1:5">
      <c r="A51" s="5">
        <v>45665</v>
      </c>
      <c r="B51" t="s">
        <v>16</v>
      </c>
      <c r="C51" s="2">
        <v>17.399999999999999</v>
      </c>
    </row>
    <row r="52" spans="1:5">
      <c r="A52" s="5">
        <v>45666</v>
      </c>
      <c r="B52" t="s">
        <v>27</v>
      </c>
      <c r="C52" s="2">
        <v>22.99</v>
      </c>
    </row>
    <row r="53" spans="1:5">
      <c r="A53" s="5">
        <v>45668</v>
      </c>
      <c r="B53" t="s">
        <v>27</v>
      </c>
      <c r="C53" s="2">
        <v>40.04</v>
      </c>
      <c r="E53" t="s">
        <v>49</v>
      </c>
    </row>
    <row r="54" spans="1:5">
      <c r="A54" s="5">
        <v>45663</v>
      </c>
      <c r="B54" t="s">
        <v>10</v>
      </c>
      <c r="C54" s="2">
        <v>55.72</v>
      </c>
      <c r="D54" s="2" t="s">
        <v>43</v>
      </c>
    </row>
    <row r="55" spans="1:5">
      <c r="A55" s="5">
        <v>45665</v>
      </c>
      <c r="B55" t="s">
        <v>20</v>
      </c>
      <c r="C55" s="2">
        <v>15.11</v>
      </c>
    </row>
    <row r="56" spans="1:5">
      <c r="A56" s="5">
        <v>45665</v>
      </c>
      <c r="B56" t="s">
        <v>21</v>
      </c>
      <c r="C56" s="2">
        <v>2.04</v>
      </c>
    </row>
    <row r="57" spans="1:5">
      <c r="A57" s="5">
        <v>45667</v>
      </c>
      <c r="B57" t="s">
        <v>25</v>
      </c>
      <c r="C57" s="2">
        <v>4</v>
      </c>
    </row>
    <row r="58" spans="1:5">
      <c r="A58" s="5">
        <v>45669</v>
      </c>
      <c r="B58" t="s">
        <v>21</v>
      </c>
      <c r="C58" s="2">
        <v>10.77</v>
      </c>
    </row>
    <row r="59" spans="1:5">
      <c r="A59" s="5">
        <v>45669</v>
      </c>
      <c r="B59" t="s">
        <v>21</v>
      </c>
      <c r="C59" s="2">
        <v>8.66</v>
      </c>
    </row>
    <row r="60" spans="1:5">
      <c r="A60" s="5">
        <v>45669</v>
      </c>
      <c r="B60" t="s">
        <v>16</v>
      </c>
      <c r="C60" s="2">
        <v>251.93</v>
      </c>
    </row>
    <row r="61" spans="1:5">
      <c r="A61" s="5">
        <v>45670</v>
      </c>
      <c r="B61" t="s">
        <v>12</v>
      </c>
      <c r="C61" s="2">
        <v>29.27</v>
      </c>
    </row>
    <row r="62" spans="1:5" ht="41.25">
      <c r="A62" s="5">
        <v>45671</v>
      </c>
      <c r="B62" t="s">
        <v>16</v>
      </c>
      <c r="C62" s="2">
        <v>107.52</v>
      </c>
      <c r="E62" s="15" t="s">
        <v>50</v>
      </c>
    </row>
    <row r="63" spans="1:5">
      <c r="A63" s="5">
        <v>45671</v>
      </c>
      <c r="B63" t="s">
        <v>16</v>
      </c>
      <c r="C63" s="2">
        <v>41.31</v>
      </c>
    </row>
    <row r="64" spans="1:5">
      <c r="A64" s="5">
        <v>45676</v>
      </c>
      <c r="B64" t="s">
        <v>27</v>
      </c>
      <c r="C64" s="2">
        <v>47</v>
      </c>
    </row>
    <row r="65" spans="1:5">
      <c r="A65" s="5">
        <v>45676</v>
      </c>
      <c r="B65" t="s">
        <v>12</v>
      </c>
      <c r="C65" s="2">
        <v>2.57</v>
      </c>
    </row>
    <row r="66" spans="1:5">
      <c r="A66" s="5">
        <v>45677</v>
      </c>
      <c r="B66" t="s">
        <v>20</v>
      </c>
      <c r="C66" s="2">
        <v>10.68</v>
      </c>
    </row>
    <row r="67" spans="1:5">
      <c r="A67" s="5">
        <v>45677</v>
      </c>
      <c r="B67" t="s">
        <v>11</v>
      </c>
      <c r="C67" s="2">
        <v>35</v>
      </c>
    </row>
    <row r="68" spans="1:5">
      <c r="A68" s="5">
        <v>45678</v>
      </c>
      <c r="C68" s="2">
        <v>256.14999999999998</v>
      </c>
      <c r="E68" t="s">
        <v>51</v>
      </c>
    </row>
    <row r="69" spans="1:5">
      <c r="A69" s="5">
        <v>45678</v>
      </c>
      <c r="B69" t="s">
        <v>16</v>
      </c>
      <c r="C69" s="2">
        <v>107.01</v>
      </c>
    </row>
    <row r="70" spans="1:5">
      <c r="A70" s="5">
        <v>45678</v>
      </c>
      <c r="B70" t="s">
        <v>16</v>
      </c>
      <c r="C70" s="2">
        <v>120.34</v>
      </c>
    </row>
    <row r="71" spans="1:5">
      <c r="A71" s="5">
        <v>45678</v>
      </c>
      <c r="B71" t="s">
        <v>16</v>
      </c>
      <c r="C71" s="2">
        <v>96.7</v>
      </c>
      <c r="E71" t="s">
        <v>52</v>
      </c>
    </row>
    <row r="72" spans="1:5" ht="27.75">
      <c r="A72" s="5">
        <v>45679</v>
      </c>
      <c r="B72" t="s">
        <v>15</v>
      </c>
      <c r="C72" s="2">
        <v>346.57</v>
      </c>
      <c r="E72" s="15" t="s">
        <v>53</v>
      </c>
    </row>
    <row r="73" spans="1:5">
      <c r="A73" s="5">
        <v>45683</v>
      </c>
      <c r="B73" t="s">
        <v>16</v>
      </c>
      <c r="C73" s="2">
        <v>148.26</v>
      </c>
    </row>
    <row r="74" spans="1:5">
      <c r="C74" s="2">
        <v>10</v>
      </c>
      <c r="D74" s="2" t="s">
        <v>47</v>
      </c>
    </row>
    <row r="75" spans="1:5">
      <c r="C75" s="2">
        <v>20</v>
      </c>
    </row>
    <row r="76" spans="1:5">
      <c r="C76" s="2">
        <v>30</v>
      </c>
    </row>
    <row r="77" spans="1:5">
      <c r="A77" s="5" t="s">
        <v>54</v>
      </c>
    </row>
    <row r="78" spans="1:5">
      <c r="A78" s="5">
        <v>45689</v>
      </c>
      <c r="B78" t="s">
        <v>12</v>
      </c>
      <c r="C78" s="2">
        <v>4.34</v>
      </c>
      <c r="D78" s="2" t="s">
        <v>47</v>
      </c>
      <c r="E78" t="s">
        <v>55</v>
      </c>
    </row>
    <row r="79" spans="1:5">
      <c r="A79" s="5">
        <v>45689</v>
      </c>
      <c r="B79" t="s">
        <v>12</v>
      </c>
      <c r="C79" s="2">
        <v>3.26</v>
      </c>
      <c r="E79" t="s">
        <v>55</v>
      </c>
    </row>
    <row r="80" spans="1:5">
      <c r="A80" s="5">
        <v>45691</v>
      </c>
      <c r="B80" t="s">
        <v>14</v>
      </c>
      <c r="C80" s="2">
        <v>4.29</v>
      </c>
    </row>
    <row r="81" spans="1:5">
      <c r="A81" s="5">
        <v>45691</v>
      </c>
      <c r="B81" t="s">
        <v>21</v>
      </c>
      <c r="C81" s="2">
        <v>44.03</v>
      </c>
    </row>
    <row r="82" spans="1:5">
      <c r="A82" s="5">
        <v>45693</v>
      </c>
      <c r="B82" t="s">
        <v>21</v>
      </c>
      <c r="C82" s="2">
        <v>63.88</v>
      </c>
    </row>
    <row r="83" spans="1:5">
      <c r="A83" s="5">
        <v>45694</v>
      </c>
      <c r="B83" t="s">
        <v>20</v>
      </c>
      <c r="C83" s="2">
        <v>39.799999999999997</v>
      </c>
    </row>
    <row r="84" spans="1:5">
      <c r="A84" s="5">
        <v>45694</v>
      </c>
      <c r="B84" t="s">
        <v>12</v>
      </c>
      <c r="C84" s="2">
        <v>27.66</v>
      </c>
      <c r="E84" t="s">
        <v>56</v>
      </c>
    </row>
    <row r="85" spans="1:5">
      <c r="A85" s="5">
        <v>45695</v>
      </c>
      <c r="B85" t="s">
        <v>27</v>
      </c>
      <c r="C85" s="2">
        <v>6.44</v>
      </c>
      <c r="E85" t="s">
        <v>57</v>
      </c>
    </row>
    <row r="86" spans="1:5">
      <c r="A86" s="5">
        <v>45695</v>
      </c>
      <c r="B86" t="s">
        <v>24</v>
      </c>
      <c r="C86" s="2">
        <v>27.38</v>
      </c>
      <c r="E86" t="s">
        <v>58</v>
      </c>
    </row>
    <row r="87" spans="1:5">
      <c r="A87" s="5">
        <v>45695</v>
      </c>
      <c r="B87" t="s">
        <v>21</v>
      </c>
      <c r="C87" s="2">
        <v>28.63</v>
      </c>
    </row>
  </sheetData>
  <dataValidations count="2">
    <dataValidation type="list" allowBlank="1" showInputMessage="1" showErrorMessage="1" sqref="D27:D1048576" xr:uid="{763FA0C7-435D-4BB1-9A9A-2D3023DF84FD}">
      <formula1>"Chase, SchoolsFirst"</formula1>
    </dataValidation>
    <dataValidation type="list" allowBlank="1" showInputMessage="1" showErrorMessage="1" sqref="B27:B1048576" xr:uid="{94639406-BF06-4A3A-9576-A991B288F82E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0DFB-80ED-4E95-A951-CFE740E42237}">
  <dimension ref="A1:J117"/>
  <sheetViews>
    <sheetView topLeftCell="A34" workbookViewId="0">
      <selection activeCell="B53" sqref="B53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4002.02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152.04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328.78000000000003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49.29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157.35</v>
      </c>
      <c r="G12" s="2"/>
      <c r="H12" s="12" t="s">
        <v>16</v>
      </c>
      <c r="I12" s="13">
        <v>500</v>
      </c>
      <c r="J12" s="13">
        <f>SUMIF($B$27:$B$1048576,"Emergency Savings",$C$27:$C$1048576)</f>
        <v>1131.1099999999999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170.35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570.4799999999999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31.83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405.21000000000004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206.63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121.84999999999998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F27" t="s">
        <v>38</v>
      </c>
    </row>
    <row r="28" spans="1:10">
      <c r="A28" s="5">
        <v>45689</v>
      </c>
      <c r="B28" t="s">
        <v>12</v>
      </c>
      <c r="C28" s="2">
        <v>4.34</v>
      </c>
      <c r="D28" s="2" t="s">
        <v>47</v>
      </c>
      <c r="E28" t="s">
        <v>55</v>
      </c>
      <c r="G28" s="2"/>
    </row>
    <row r="29" spans="1:10" ht="24.75">
      <c r="A29" s="5">
        <v>45689</v>
      </c>
      <c r="B29" t="s">
        <v>12</v>
      </c>
      <c r="C29" s="2">
        <v>3.26</v>
      </c>
      <c r="E29" t="s">
        <v>55</v>
      </c>
      <c r="F29" s="6" t="s">
        <v>39</v>
      </c>
      <c r="G29" s="7">
        <f>SUM(E8,E14,I9,I18,I21,I14,I11,I10)</f>
        <v>1428.1</v>
      </c>
    </row>
    <row r="30" spans="1:10">
      <c r="A30" s="5">
        <v>45691</v>
      </c>
      <c r="B30" t="s">
        <v>14</v>
      </c>
      <c r="C30" s="2">
        <v>4.29</v>
      </c>
      <c r="F30" t="s">
        <v>40</v>
      </c>
    </row>
    <row r="31" spans="1:10">
      <c r="A31" s="5">
        <v>45691</v>
      </c>
      <c r="B31" t="s">
        <v>21</v>
      </c>
      <c r="C31" s="2">
        <v>44.03</v>
      </c>
    </row>
    <row r="32" spans="1:10">
      <c r="A32" s="5">
        <v>45693</v>
      </c>
      <c r="B32" t="s">
        <v>21</v>
      </c>
      <c r="C32" s="2">
        <v>63.88</v>
      </c>
    </row>
    <row r="33" spans="1:7" ht="24.75">
      <c r="A33" s="5">
        <v>45694</v>
      </c>
      <c r="B33" t="s">
        <v>20</v>
      </c>
      <c r="C33" s="2">
        <v>39.799999999999997</v>
      </c>
      <c r="F33" s="6" t="s">
        <v>41</v>
      </c>
      <c r="G33" s="7">
        <f>SUM(E10,I8,I12,I13,I17,I19,I20)</f>
        <v>1265</v>
      </c>
    </row>
    <row r="34" spans="1:7">
      <c r="A34" s="5">
        <v>45694</v>
      </c>
      <c r="B34" t="s">
        <v>12</v>
      </c>
      <c r="C34" s="2">
        <v>27.66</v>
      </c>
      <c r="E34" t="s">
        <v>59</v>
      </c>
      <c r="F34" t="s">
        <v>42</v>
      </c>
    </row>
    <row r="35" spans="1:7">
      <c r="A35" s="5">
        <v>45695</v>
      </c>
      <c r="B35" t="s">
        <v>27</v>
      </c>
      <c r="C35" s="2">
        <v>6.44</v>
      </c>
      <c r="E35" t="s">
        <v>57</v>
      </c>
    </row>
    <row r="36" spans="1:7">
      <c r="A36" s="5">
        <v>45695</v>
      </c>
      <c r="B36" t="s">
        <v>24</v>
      </c>
      <c r="C36" s="2">
        <v>27.38</v>
      </c>
      <c r="E36" t="s">
        <v>58</v>
      </c>
    </row>
    <row r="37" spans="1:7">
      <c r="A37" s="5">
        <v>45695</v>
      </c>
      <c r="B37" t="s">
        <v>21</v>
      </c>
      <c r="C37" s="2">
        <v>28.63</v>
      </c>
    </row>
    <row r="38" spans="1:7">
      <c r="A38" s="5">
        <v>45697</v>
      </c>
      <c r="B38" t="s">
        <v>21</v>
      </c>
      <c r="C38" s="2">
        <v>11.01</v>
      </c>
      <c r="E38" t="s">
        <v>60</v>
      </c>
    </row>
    <row r="39" spans="1:7">
      <c r="A39" s="5">
        <v>45697</v>
      </c>
      <c r="B39" t="s">
        <v>27</v>
      </c>
      <c r="C39" s="2">
        <v>22.99</v>
      </c>
      <c r="E39" t="s">
        <v>61</v>
      </c>
    </row>
    <row r="40" spans="1:7">
      <c r="A40" s="5">
        <v>45697</v>
      </c>
      <c r="B40" t="s">
        <v>23</v>
      </c>
      <c r="C40" s="2">
        <v>10.35</v>
      </c>
      <c r="E40" t="s">
        <v>62</v>
      </c>
    </row>
    <row r="41" spans="1:7">
      <c r="D41" s="2" t="s">
        <v>43</v>
      </c>
    </row>
    <row r="42" spans="1:7">
      <c r="A42" s="5">
        <v>45690</v>
      </c>
      <c r="B42" t="s">
        <v>12</v>
      </c>
      <c r="C42" s="2">
        <v>35.89</v>
      </c>
    </row>
    <row r="43" spans="1:7">
      <c r="A43" s="5">
        <v>45690</v>
      </c>
      <c r="B43" t="s">
        <v>12</v>
      </c>
      <c r="C43" s="2">
        <v>29.56</v>
      </c>
      <c r="E43" t="s">
        <v>63</v>
      </c>
    </row>
    <row r="44" spans="1:7">
      <c r="A44" s="5">
        <v>45691</v>
      </c>
      <c r="B44" t="s">
        <v>12</v>
      </c>
      <c r="C44" s="2">
        <v>9.75</v>
      </c>
    </row>
    <row r="45" spans="1:7">
      <c r="A45" s="5">
        <v>45694</v>
      </c>
      <c r="B45" t="s">
        <v>21</v>
      </c>
      <c r="C45" s="2">
        <v>11.67</v>
      </c>
    </row>
    <row r="46" spans="1:7">
      <c r="A46" s="5">
        <v>45694</v>
      </c>
      <c r="B46" t="s">
        <v>24</v>
      </c>
      <c r="C46" s="2">
        <v>12.88</v>
      </c>
      <c r="E46" t="s">
        <v>64</v>
      </c>
    </row>
    <row r="47" spans="1:7">
      <c r="A47" s="5">
        <v>45696</v>
      </c>
      <c r="B47" t="s">
        <v>12</v>
      </c>
      <c r="C47" s="2">
        <v>8.06</v>
      </c>
      <c r="E47" t="s">
        <v>65</v>
      </c>
    </row>
    <row r="48" spans="1:7">
      <c r="A48" s="5">
        <v>45696</v>
      </c>
      <c r="B48" t="s">
        <v>24</v>
      </c>
      <c r="C48" s="2">
        <v>37.39</v>
      </c>
      <c r="E48" t="s">
        <v>66</v>
      </c>
    </row>
    <row r="49" spans="1:5">
      <c r="A49" s="5">
        <v>45694</v>
      </c>
      <c r="B49" t="s">
        <v>12</v>
      </c>
      <c r="C49" s="2">
        <v>30.91</v>
      </c>
      <c r="E49" t="s">
        <v>67</v>
      </c>
    </row>
    <row r="50" spans="1:5">
      <c r="A50" s="5">
        <v>45696</v>
      </c>
      <c r="B50" t="s">
        <v>12</v>
      </c>
      <c r="C50" s="2">
        <v>11.14</v>
      </c>
      <c r="E50" t="s">
        <v>68</v>
      </c>
    </row>
    <row r="51" spans="1:5">
      <c r="D51" s="2" t="s">
        <v>47</v>
      </c>
    </row>
    <row r="52" spans="1:5">
      <c r="A52" s="5">
        <v>45699</v>
      </c>
      <c r="B52" t="s">
        <v>21</v>
      </c>
      <c r="C52" s="2">
        <v>46.3</v>
      </c>
    </row>
    <row r="53" spans="1:5" s="17" customFormat="1">
      <c r="A53" s="16">
        <v>45699</v>
      </c>
      <c r="B53" s="17" t="s">
        <v>16</v>
      </c>
      <c r="C53" s="18">
        <v>73.599999999999994</v>
      </c>
      <c r="D53" s="18"/>
      <c r="E53" s="17" t="s">
        <v>69</v>
      </c>
    </row>
    <row r="54" spans="1:5" s="17" customFormat="1">
      <c r="A54" s="16">
        <v>45699</v>
      </c>
      <c r="B54" s="17" t="s">
        <v>16</v>
      </c>
      <c r="C54" s="18">
        <v>225.98</v>
      </c>
      <c r="D54" s="18"/>
      <c r="E54" s="17" t="s">
        <v>70</v>
      </c>
    </row>
    <row r="55" spans="1:5" s="17" customFormat="1">
      <c r="A55" s="16">
        <v>45699</v>
      </c>
      <c r="B55" s="17" t="s">
        <v>16</v>
      </c>
      <c r="C55" s="18">
        <v>42.25</v>
      </c>
      <c r="D55" s="18"/>
      <c r="E55" s="17" t="s">
        <v>71</v>
      </c>
    </row>
    <row r="56" spans="1:5" s="20" customFormat="1">
      <c r="A56" s="19">
        <v>45699</v>
      </c>
      <c r="B56" s="20" t="s">
        <v>16</v>
      </c>
      <c r="C56" s="21">
        <v>25.32</v>
      </c>
      <c r="D56" s="21"/>
      <c r="E56" s="20" t="s">
        <v>72</v>
      </c>
    </row>
    <row r="57" spans="1:5">
      <c r="A57" s="5">
        <v>45699</v>
      </c>
      <c r="B57" t="s">
        <v>12</v>
      </c>
      <c r="C57" s="2">
        <v>0.45</v>
      </c>
    </row>
    <row r="58" spans="1:5" s="20" customFormat="1">
      <c r="A58" s="19">
        <v>45699</v>
      </c>
      <c r="B58" s="20" t="s">
        <v>16</v>
      </c>
      <c r="C58" s="21">
        <v>34.21</v>
      </c>
      <c r="D58" s="21"/>
      <c r="E58" s="20" t="s">
        <v>73</v>
      </c>
    </row>
    <row r="59" spans="1:5">
      <c r="A59" s="5">
        <v>45699</v>
      </c>
      <c r="B59" t="s">
        <v>21</v>
      </c>
      <c r="C59" s="2">
        <v>12.59</v>
      </c>
    </row>
    <row r="60" spans="1:5" s="20" customFormat="1">
      <c r="A60" s="19">
        <v>45700</v>
      </c>
      <c r="B60" s="20" t="s">
        <v>26</v>
      </c>
      <c r="C60" s="21">
        <v>79.86</v>
      </c>
      <c r="D60" s="21"/>
      <c r="E60" s="20" t="s">
        <v>74</v>
      </c>
    </row>
    <row r="61" spans="1:5">
      <c r="A61" s="5">
        <v>45700</v>
      </c>
      <c r="B61" t="s">
        <v>27</v>
      </c>
      <c r="C61" s="2">
        <v>1.06</v>
      </c>
      <c r="E61" t="s">
        <v>75</v>
      </c>
    </row>
    <row r="62" spans="1:5">
      <c r="A62" s="5">
        <v>45700</v>
      </c>
      <c r="B62" t="s">
        <v>23</v>
      </c>
      <c r="C62" s="2">
        <v>21.48</v>
      </c>
      <c r="E62" s="15"/>
    </row>
    <row r="63" spans="1:5">
      <c r="A63" s="5">
        <v>54831</v>
      </c>
      <c r="B63" t="s">
        <v>26</v>
      </c>
      <c r="C63" s="2">
        <v>19.329999999999998</v>
      </c>
      <c r="E63" t="s">
        <v>76</v>
      </c>
    </row>
    <row r="64" spans="1:5">
      <c r="A64" s="5">
        <v>45700</v>
      </c>
      <c r="B64" t="s">
        <v>21</v>
      </c>
      <c r="C64" s="2">
        <v>6.44</v>
      </c>
    </row>
    <row r="65" spans="1:5" s="20" customFormat="1">
      <c r="A65" s="19">
        <v>45701</v>
      </c>
      <c r="B65" s="20" t="s">
        <v>26</v>
      </c>
      <c r="C65" s="21">
        <v>107.44</v>
      </c>
      <c r="D65" s="21"/>
      <c r="E65" s="20" t="s">
        <v>74</v>
      </c>
    </row>
    <row r="66" spans="1:5">
      <c r="A66" s="5">
        <v>45701</v>
      </c>
      <c r="B66" t="s">
        <v>21</v>
      </c>
      <c r="C66" s="2">
        <v>32.97</v>
      </c>
    </row>
    <row r="67" spans="1:5">
      <c r="A67" s="5">
        <v>45701</v>
      </c>
      <c r="B67" t="s">
        <v>24</v>
      </c>
      <c r="C67" s="2">
        <v>12.36</v>
      </c>
    </row>
    <row r="68" spans="1:5">
      <c r="A68" s="5">
        <v>45701</v>
      </c>
      <c r="B68" t="s">
        <v>27</v>
      </c>
      <c r="C68" s="2">
        <v>8.24</v>
      </c>
    </row>
    <row r="69" spans="1:5">
      <c r="A69" s="5">
        <v>45702</v>
      </c>
      <c r="B69" t="s">
        <v>12</v>
      </c>
      <c r="C69" s="2">
        <v>4.33</v>
      </c>
    </row>
    <row r="70" spans="1:5">
      <c r="A70" s="5">
        <v>45702</v>
      </c>
      <c r="B70" t="s">
        <v>20</v>
      </c>
      <c r="C70" s="2">
        <v>37.9</v>
      </c>
    </row>
    <row r="71" spans="1:5">
      <c r="A71" s="5">
        <v>45702</v>
      </c>
      <c r="B71" t="s">
        <v>14</v>
      </c>
      <c r="C71" s="2">
        <v>45</v>
      </c>
    </row>
    <row r="72" spans="1:5">
      <c r="A72" s="5">
        <v>45702</v>
      </c>
      <c r="B72" t="s">
        <v>21</v>
      </c>
      <c r="C72" s="2">
        <v>17.079999999999998</v>
      </c>
      <c r="E72" s="15"/>
    </row>
    <row r="73" spans="1:5">
      <c r="A73" s="5">
        <v>45702</v>
      </c>
      <c r="B73" t="s">
        <v>21</v>
      </c>
      <c r="C73" s="2">
        <v>34.700000000000003</v>
      </c>
    </row>
    <row r="74" spans="1:5">
      <c r="A74" s="5">
        <v>45703</v>
      </c>
      <c r="B74" t="s">
        <v>21</v>
      </c>
      <c r="C74" s="2">
        <v>5.58</v>
      </c>
    </row>
    <row r="75" spans="1:5">
      <c r="A75" s="5">
        <v>45704</v>
      </c>
      <c r="B75" t="s">
        <v>21</v>
      </c>
      <c r="C75" s="2">
        <v>4.59</v>
      </c>
    </row>
    <row r="76" spans="1:5">
      <c r="A76" s="5">
        <v>45706</v>
      </c>
      <c r="B76" t="s">
        <v>24</v>
      </c>
      <c r="C76" s="2">
        <v>137.91999999999999</v>
      </c>
      <c r="E76" t="s">
        <v>77</v>
      </c>
    </row>
    <row r="77" spans="1:5">
      <c r="A77" s="5">
        <v>45707</v>
      </c>
      <c r="B77" t="s">
        <v>21</v>
      </c>
      <c r="C77" s="2">
        <v>54.75</v>
      </c>
    </row>
    <row r="78" spans="1:5">
      <c r="A78" s="5">
        <v>45709</v>
      </c>
      <c r="B78" t="s">
        <v>27</v>
      </c>
      <c r="C78" s="2">
        <v>16.11</v>
      </c>
    </row>
    <row r="79" spans="1:5">
      <c r="A79" s="5">
        <v>45709</v>
      </c>
      <c r="B79" t="s">
        <v>21</v>
      </c>
      <c r="C79" s="2">
        <v>9.7100000000000009</v>
      </c>
    </row>
    <row r="80" spans="1:5">
      <c r="A80" s="5">
        <v>45710</v>
      </c>
      <c r="B80" t="s">
        <v>27</v>
      </c>
      <c r="C80" s="2">
        <v>16.11</v>
      </c>
      <c r="E80" t="s">
        <v>78</v>
      </c>
    </row>
    <row r="81" spans="1:5">
      <c r="A81" s="5">
        <v>45710</v>
      </c>
      <c r="B81" t="s">
        <v>20</v>
      </c>
      <c r="C81" s="2">
        <v>41.31</v>
      </c>
    </row>
    <row r="82" spans="1:5">
      <c r="A82" s="5">
        <v>45710</v>
      </c>
      <c r="B82" t="s">
        <v>27</v>
      </c>
      <c r="C82" s="2">
        <v>3</v>
      </c>
    </row>
    <row r="83" spans="1:5">
      <c r="A83" s="5">
        <v>45711</v>
      </c>
      <c r="B83" t="s">
        <v>21</v>
      </c>
      <c r="C83" s="2">
        <v>25.57</v>
      </c>
    </row>
    <row r="84" spans="1:5">
      <c r="A84" s="5">
        <v>45712</v>
      </c>
      <c r="B84" t="s">
        <v>24</v>
      </c>
      <c r="C84" s="2">
        <v>15</v>
      </c>
      <c r="E84" t="s">
        <v>58</v>
      </c>
    </row>
    <row r="85" spans="1:5">
      <c r="D85" s="2" t="s">
        <v>43</v>
      </c>
    </row>
    <row r="86" spans="1:5">
      <c r="A86" s="5">
        <v>45699</v>
      </c>
      <c r="B86" t="s">
        <v>21</v>
      </c>
      <c r="C86" s="2">
        <v>13.97</v>
      </c>
    </row>
    <row r="87" spans="1:5">
      <c r="A87" s="5">
        <v>45699</v>
      </c>
      <c r="B87" t="s">
        <v>21</v>
      </c>
      <c r="C87" s="2">
        <v>7.51</v>
      </c>
    </row>
    <row r="88" spans="1:5">
      <c r="A88" s="5">
        <v>45700</v>
      </c>
      <c r="B88" t="s">
        <v>12</v>
      </c>
      <c r="C88" s="2">
        <v>19.18</v>
      </c>
    </row>
    <row r="89" spans="1:5">
      <c r="A89" s="5">
        <v>45704</v>
      </c>
      <c r="B89" t="s">
        <v>10</v>
      </c>
      <c r="C89" s="2">
        <v>52.58</v>
      </c>
      <c r="E89" t="s">
        <v>79</v>
      </c>
    </row>
    <row r="90" spans="1:5" s="17" customFormat="1">
      <c r="A90" s="16">
        <v>45704</v>
      </c>
      <c r="C90" s="18">
        <v>31.16</v>
      </c>
      <c r="D90" s="18"/>
      <c r="E90" s="17" t="s">
        <v>80</v>
      </c>
    </row>
    <row r="91" spans="1:5">
      <c r="A91" s="5">
        <v>45705</v>
      </c>
      <c r="B91" t="s">
        <v>21</v>
      </c>
      <c r="C91" s="2">
        <v>5.47</v>
      </c>
    </row>
    <row r="92" spans="1:5">
      <c r="A92" s="5">
        <v>45705</v>
      </c>
      <c r="B92" t="s">
        <v>10</v>
      </c>
      <c r="C92" s="2">
        <v>33</v>
      </c>
      <c r="E92" t="s">
        <v>81</v>
      </c>
    </row>
    <row r="93" spans="1:5">
      <c r="A93" s="5">
        <v>45705</v>
      </c>
      <c r="B93" t="s">
        <v>10</v>
      </c>
      <c r="C93" s="2">
        <v>20.46</v>
      </c>
      <c r="E93" t="s">
        <v>82</v>
      </c>
    </row>
    <row r="94" spans="1:5">
      <c r="A94" s="5">
        <v>45705</v>
      </c>
      <c r="B94" t="s">
        <v>21</v>
      </c>
      <c r="C94" s="2">
        <v>5.14</v>
      </c>
    </row>
    <row r="95" spans="1:5">
      <c r="A95" s="5">
        <v>45706</v>
      </c>
      <c r="B95" t="s">
        <v>16</v>
      </c>
      <c r="C95" s="2">
        <v>729.75</v>
      </c>
      <c r="E95" t="s">
        <v>83</v>
      </c>
    </row>
    <row r="96" spans="1:5" s="17" customFormat="1">
      <c r="A96" s="16">
        <v>45707</v>
      </c>
      <c r="C96" s="18">
        <v>18.899999999999999</v>
      </c>
      <c r="D96" s="18"/>
      <c r="E96" s="17" t="s">
        <v>84</v>
      </c>
    </row>
    <row r="97" spans="1:5">
      <c r="A97" s="5">
        <v>45707</v>
      </c>
      <c r="B97" t="s">
        <v>12</v>
      </c>
      <c r="C97" s="2">
        <v>16.43</v>
      </c>
    </row>
    <row r="98" spans="1:5">
      <c r="A98" s="5">
        <v>45707</v>
      </c>
      <c r="B98" t="s">
        <v>15</v>
      </c>
      <c r="C98" s="2">
        <v>157.35</v>
      </c>
    </row>
    <row r="99" spans="1:5">
      <c r="A99" s="5">
        <v>45708</v>
      </c>
      <c r="B99" t="s">
        <v>11</v>
      </c>
      <c r="C99" s="2">
        <v>35</v>
      </c>
    </row>
    <row r="100" spans="1:5">
      <c r="A100" s="5">
        <v>45708</v>
      </c>
      <c r="B100" t="s">
        <v>21</v>
      </c>
      <c r="C100" s="2">
        <v>9.9600000000000009</v>
      </c>
    </row>
    <row r="101" spans="1:5">
      <c r="A101" s="5">
        <v>45711</v>
      </c>
      <c r="B101" t="s">
        <v>10</v>
      </c>
      <c r="C101" s="2">
        <v>46</v>
      </c>
      <c r="E101" t="s">
        <v>81</v>
      </c>
    </row>
    <row r="102" spans="1:5">
      <c r="A102" s="5">
        <v>45711</v>
      </c>
      <c r="B102" t="s">
        <v>21</v>
      </c>
      <c r="C102" s="2">
        <v>16.46</v>
      </c>
    </row>
    <row r="103" spans="1:5">
      <c r="A103" s="5">
        <v>45711</v>
      </c>
      <c r="B103" t="s">
        <v>27</v>
      </c>
      <c r="C103" s="2">
        <v>16.79</v>
      </c>
    </row>
    <row r="106" spans="1:5">
      <c r="A106" s="5">
        <v>45714</v>
      </c>
      <c r="B106" t="s">
        <v>21</v>
      </c>
      <c r="C106" s="2">
        <v>59.74</v>
      </c>
    </row>
    <row r="107" spans="1:5">
      <c r="A107" s="5">
        <v>45714</v>
      </c>
      <c r="B107" t="s">
        <v>21</v>
      </c>
      <c r="C107" s="2">
        <v>17.16</v>
      </c>
    </row>
    <row r="108" spans="1:5">
      <c r="A108" s="5">
        <v>45715</v>
      </c>
      <c r="B108" t="s">
        <v>24</v>
      </c>
      <c r="C108" s="2">
        <v>162.28</v>
      </c>
      <c r="E108" t="s">
        <v>85</v>
      </c>
    </row>
    <row r="109" spans="1:5">
      <c r="A109" s="5">
        <v>45715</v>
      </c>
      <c r="B109" t="s">
        <v>12</v>
      </c>
      <c r="C109" s="2">
        <v>63.89</v>
      </c>
      <c r="E109" t="s">
        <v>86</v>
      </c>
    </row>
    <row r="110" spans="1:5">
      <c r="A110" s="5">
        <v>45715</v>
      </c>
      <c r="B110" t="s">
        <v>20</v>
      </c>
      <c r="C110" s="2">
        <v>10.029999999999999</v>
      </c>
    </row>
    <row r="111" spans="1:5">
      <c r="A111" s="5">
        <v>45716</v>
      </c>
      <c r="B111" t="s">
        <v>12</v>
      </c>
      <c r="C111" s="2">
        <v>23.87</v>
      </c>
    </row>
    <row r="112" spans="1:5">
      <c r="A112" s="5">
        <v>45713</v>
      </c>
      <c r="B112" t="s">
        <v>12</v>
      </c>
      <c r="C112" s="2">
        <v>29.27</v>
      </c>
    </row>
    <row r="113" spans="1:5">
      <c r="A113" s="5">
        <v>45712</v>
      </c>
      <c r="B113" t="s">
        <v>12</v>
      </c>
      <c r="C113" s="2">
        <v>10.79</v>
      </c>
    </row>
    <row r="114" spans="1:5">
      <c r="A114" s="5">
        <v>45712</v>
      </c>
      <c r="B114" t="s">
        <v>27</v>
      </c>
      <c r="C114" s="2">
        <v>15</v>
      </c>
    </row>
    <row r="115" spans="1:5">
      <c r="A115" s="5">
        <v>45711</v>
      </c>
      <c r="B115" t="s">
        <v>21</v>
      </c>
      <c r="C115" s="2">
        <v>25.57</v>
      </c>
    </row>
    <row r="116" spans="1:5">
      <c r="A116" s="5">
        <v>45710</v>
      </c>
      <c r="B116" t="s">
        <v>20</v>
      </c>
      <c r="C116" s="2">
        <v>41.31</v>
      </c>
    </row>
    <row r="117" spans="1:5">
      <c r="A117" s="5">
        <v>45710</v>
      </c>
      <c r="B117" t="s">
        <v>27</v>
      </c>
      <c r="C117" s="2">
        <v>16.11</v>
      </c>
      <c r="E117" s="15"/>
    </row>
  </sheetData>
  <dataValidations count="2">
    <dataValidation type="list" allowBlank="1" showInputMessage="1" showErrorMessage="1" sqref="B27:B1048576" xr:uid="{FB5BA6E4-4790-41A4-B058-14A71F6F9CC4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  <dataValidation type="list" allowBlank="1" showInputMessage="1" showErrorMessage="1" sqref="D27:D1048576" xr:uid="{B6CA4B44-A832-4D48-BB38-06386D90B404}">
      <formula1>"Chase, SchoolsFirst"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1C80-B51D-4A3F-8CB8-547216DC0CD2}">
  <dimension ref="A1:J105"/>
  <sheetViews>
    <sheetView topLeftCell="C51" workbookViewId="0">
      <selection activeCell="C51" sqref="C51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4041.8700000000003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80.650000000000006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121.66999999999999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167.38000000000002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40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170.96</v>
      </c>
      <c r="G12" s="2"/>
      <c r="H12" s="12" t="s">
        <v>16</v>
      </c>
      <c r="I12" s="13">
        <v>500</v>
      </c>
      <c r="J12" s="13">
        <f>SUMIF($B$27:$B$1048576,"Emergency Savings",$C$27:$C$1048576)</f>
        <v>613.34999999999991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187.82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749.24000000000012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39.5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325.87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328.16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540.17000000000007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D27" s="2" t="s">
        <v>47</v>
      </c>
      <c r="F27" t="s">
        <v>38</v>
      </c>
    </row>
    <row r="28" spans="1:10">
      <c r="A28" s="5">
        <v>45719</v>
      </c>
      <c r="B28" t="s">
        <v>21</v>
      </c>
      <c r="C28" s="2">
        <v>96.99</v>
      </c>
      <c r="G28" s="2"/>
    </row>
    <row r="29" spans="1:10" ht="24.75">
      <c r="A29" s="5">
        <v>45720</v>
      </c>
      <c r="B29" t="s">
        <v>20</v>
      </c>
      <c r="C29" s="2">
        <v>19.71</v>
      </c>
      <c r="F29" s="6" t="s">
        <v>39</v>
      </c>
      <c r="G29" s="7">
        <f>SUM(E8,E14,I9,I18,I21,I14,I11,I10)</f>
        <v>1428.1</v>
      </c>
    </row>
    <row r="30" spans="1:10">
      <c r="A30" s="16">
        <v>45720</v>
      </c>
      <c r="B30" s="17" t="s">
        <v>27</v>
      </c>
      <c r="C30" s="18">
        <v>92.84</v>
      </c>
      <c r="D30" s="18"/>
      <c r="E30" s="17" t="s">
        <v>87</v>
      </c>
      <c r="F30" t="s">
        <v>40</v>
      </c>
    </row>
    <row r="31" spans="1:10">
      <c r="A31" s="5">
        <v>45721</v>
      </c>
      <c r="B31" t="s">
        <v>27</v>
      </c>
      <c r="C31" s="2">
        <v>16.32</v>
      </c>
      <c r="E31" t="s">
        <v>88</v>
      </c>
    </row>
    <row r="32" spans="1:10">
      <c r="A32" s="5">
        <v>45721</v>
      </c>
      <c r="B32" t="s">
        <v>27</v>
      </c>
      <c r="C32" s="2">
        <v>128.80000000000001</v>
      </c>
      <c r="E32" t="s">
        <v>89</v>
      </c>
    </row>
    <row r="33" spans="1:7" ht="24.75">
      <c r="A33" s="5">
        <v>45721</v>
      </c>
      <c r="B33" t="s">
        <v>20</v>
      </c>
      <c r="C33" s="2">
        <v>51.33</v>
      </c>
      <c r="F33" s="6" t="s">
        <v>41</v>
      </c>
      <c r="G33" s="7">
        <f>SUM(E10,I8,I12,I13,I17,I19,I20)</f>
        <v>1265</v>
      </c>
    </row>
    <row r="34" spans="1:7">
      <c r="A34" s="5">
        <v>45722</v>
      </c>
      <c r="B34" t="s">
        <v>21</v>
      </c>
      <c r="C34" s="2">
        <v>51.33</v>
      </c>
      <c r="F34" t="s">
        <v>42</v>
      </c>
    </row>
    <row r="35" spans="1:7">
      <c r="A35" s="5">
        <v>45722</v>
      </c>
      <c r="B35" t="s">
        <v>21</v>
      </c>
      <c r="C35" s="2">
        <v>15</v>
      </c>
    </row>
    <row r="36" spans="1:7">
      <c r="A36" s="5">
        <v>45722</v>
      </c>
      <c r="B36" t="s">
        <v>27</v>
      </c>
      <c r="C36" s="2">
        <v>46.5</v>
      </c>
      <c r="E36" t="s">
        <v>90</v>
      </c>
      <c r="F36" t="s">
        <v>91</v>
      </c>
    </row>
    <row r="37" spans="1:7">
      <c r="A37" s="5">
        <v>45723</v>
      </c>
      <c r="B37" t="s">
        <v>27</v>
      </c>
      <c r="C37" s="2">
        <v>6.44</v>
      </c>
    </row>
    <row r="38" spans="1:7">
      <c r="A38" s="5">
        <v>45723</v>
      </c>
      <c r="B38" t="s">
        <v>27</v>
      </c>
      <c r="C38" s="2">
        <v>29.66</v>
      </c>
      <c r="E38" t="s">
        <v>92</v>
      </c>
    </row>
    <row r="39" spans="1:7">
      <c r="A39" s="5">
        <v>45725</v>
      </c>
      <c r="B39" t="s">
        <v>27</v>
      </c>
      <c r="C39" s="2">
        <v>24.99</v>
      </c>
    </row>
    <row r="40" spans="1:7">
      <c r="A40" s="5">
        <v>45726</v>
      </c>
      <c r="B40" t="s">
        <v>24</v>
      </c>
      <c r="C40" s="2">
        <v>16.11</v>
      </c>
      <c r="E40" t="s">
        <v>93</v>
      </c>
    </row>
    <row r="41" spans="1:7">
      <c r="A41" s="5">
        <v>45726</v>
      </c>
      <c r="B41" t="s">
        <v>24</v>
      </c>
      <c r="C41" s="2">
        <v>16.11</v>
      </c>
      <c r="E41" t="s">
        <v>93</v>
      </c>
    </row>
    <row r="42" spans="1:7">
      <c r="A42" s="5">
        <v>45727</v>
      </c>
      <c r="B42" t="s">
        <v>21</v>
      </c>
      <c r="C42" s="2">
        <v>61.16</v>
      </c>
    </row>
    <row r="43" spans="1:7">
      <c r="A43" s="5">
        <v>45727</v>
      </c>
      <c r="B43" t="s">
        <v>14</v>
      </c>
      <c r="C43" s="2">
        <v>40</v>
      </c>
    </row>
    <row r="44" spans="1:7">
      <c r="A44" s="5">
        <v>45727</v>
      </c>
      <c r="B44" t="s">
        <v>23</v>
      </c>
      <c r="C44" s="2">
        <v>15</v>
      </c>
    </row>
    <row r="45" spans="1:7">
      <c r="A45" s="5">
        <v>45727</v>
      </c>
      <c r="B45" t="s">
        <v>21</v>
      </c>
      <c r="C45" s="2">
        <v>218.14</v>
      </c>
    </row>
    <row r="46" spans="1:7">
      <c r="A46" s="5">
        <v>45727</v>
      </c>
      <c r="B46" t="s">
        <v>24</v>
      </c>
      <c r="C46" s="2">
        <v>16.11</v>
      </c>
      <c r="E46" t="s">
        <v>94</v>
      </c>
    </row>
    <row r="47" spans="1:7">
      <c r="A47" s="5">
        <v>45727</v>
      </c>
      <c r="B47" t="s">
        <v>24</v>
      </c>
      <c r="C47" s="2">
        <v>16.100000000000001</v>
      </c>
      <c r="E47" t="s">
        <v>94</v>
      </c>
    </row>
    <row r="48" spans="1:7">
      <c r="A48" s="5">
        <v>45728</v>
      </c>
      <c r="B48" t="s">
        <v>27</v>
      </c>
      <c r="C48" s="2">
        <v>1.06</v>
      </c>
    </row>
    <row r="49" spans="1:5">
      <c r="A49" s="5">
        <v>45728</v>
      </c>
      <c r="B49" t="s">
        <v>21</v>
      </c>
      <c r="C49" s="2">
        <v>16.22</v>
      </c>
    </row>
    <row r="50" spans="1:5">
      <c r="D50" s="2" t="s">
        <v>43</v>
      </c>
    </row>
    <row r="51" spans="1:5">
      <c r="A51" s="5">
        <v>45718</v>
      </c>
      <c r="B51" t="s">
        <v>21</v>
      </c>
      <c r="C51" s="2">
        <v>10.67</v>
      </c>
    </row>
    <row r="52" spans="1:5">
      <c r="A52" s="5">
        <v>45718</v>
      </c>
      <c r="B52" t="s">
        <v>21</v>
      </c>
      <c r="C52" s="2">
        <v>6.57</v>
      </c>
    </row>
    <row r="53" spans="1:5">
      <c r="A53" s="5">
        <v>45719</v>
      </c>
      <c r="B53" t="s">
        <v>12</v>
      </c>
      <c r="C53" s="2">
        <v>12.61</v>
      </c>
    </row>
    <row r="54" spans="1:5">
      <c r="A54" s="5">
        <v>45721</v>
      </c>
      <c r="B54" t="s">
        <v>24</v>
      </c>
      <c r="C54" s="2">
        <v>99.89</v>
      </c>
    </row>
    <row r="55" spans="1:5">
      <c r="A55" s="5">
        <v>45721</v>
      </c>
      <c r="B55" t="s">
        <v>24</v>
      </c>
      <c r="C55" s="2">
        <v>12.88</v>
      </c>
      <c r="E55" t="s">
        <v>95</v>
      </c>
    </row>
    <row r="56" spans="1:5">
      <c r="A56" s="5">
        <v>45722</v>
      </c>
      <c r="B56" t="s">
        <v>21</v>
      </c>
      <c r="C56" s="2">
        <v>2.06</v>
      </c>
    </row>
    <row r="57" spans="1:5">
      <c r="A57" s="5">
        <v>45727</v>
      </c>
      <c r="B57" t="s">
        <v>12</v>
      </c>
      <c r="C57" s="2">
        <v>37.270000000000003</v>
      </c>
    </row>
    <row r="58" spans="1:5">
      <c r="A58" s="5">
        <v>45728</v>
      </c>
      <c r="B58" t="s">
        <v>8</v>
      </c>
      <c r="C58" s="2">
        <v>13.96</v>
      </c>
    </row>
    <row r="59" spans="1:5">
      <c r="A59" s="5">
        <v>45728</v>
      </c>
      <c r="B59" t="s">
        <v>24</v>
      </c>
      <c r="C59" s="2">
        <v>106.78</v>
      </c>
    </row>
    <row r="60" spans="1:5">
      <c r="A60" s="5">
        <v>45729</v>
      </c>
      <c r="B60" t="s">
        <v>12</v>
      </c>
      <c r="C60" s="2">
        <v>21.96</v>
      </c>
    </row>
    <row r="61" spans="1:5">
      <c r="D61" s="2" t="s">
        <v>47</v>
      </c>
    </row>
    <row r="62" spans="1:5">
      <c r="A62" s="5">
        <v>45730</v>
      </c>
      <c r="B62" t="s">
        <v>27</v>
      </c>
      <c r="C62" s="2">
        <v>17.8</v>
      </c>
      <c r="E62" s="15" t="s">
        <v>96</v>
      </c>
    </row>
    <row r="63" spans="1:5">
      <c r="A63" s="5">
        <v>45730</v>
      </c>
      <c r="B63" t="s">
        <v>8</v>
      </c>
      <c r="C63" s="2">
        <v>44.14</v>
      </c>
    </row>
    <row r="64" spans="1:5" ht="27.75">
      <c r="A64" s="5">
        <v>45732</v>
      </c>
      <c r="B64" t="s">
        <v>21</v>
      </c>
      <c r="C64" s="2">
        <v>47.44</v>
      </c>
      <c r="E64" s="15" t="s">
        <v>97</v>
      </c>
    </row>
    <row r="65" spans="1:5">
      <c r="A65" s="5">
        <v>45733</v>
      </c>
      <c r="B65" t="s">
        <v>21</v>
      </c>
      <c r="C65" s="2">
        <v>19.7</v>
      </c>
    </row>
    <row r="66" spans="1:5">
      <c r="A66" s="5">
        <v>45735</v>
      </c>
      <c r="B66" t="s">
        <v>20</v>
      </c>
      <c r="C66" s="2">
        <v>10.06</v>
      </c>
    </row>
    <row r="67" spans="1:5">
      <c r="A67" s="5">
        <v>45736</v>
      </c>
      <c r="B67" t="s">
        <v>21</v>
      </c>
      <c r="C67" s="2">
        <v>2.36</v>
      </c>
    </row>
    <row r="68" spans="1:5">
      <c r="A68" s="5">
        <v>45736</v>
      </c>
      <c r="B68" t="s">
        <v>21</v>
      </c>
      <c r="C68" s="2">
        <v>7.19</v>
      </c>
    </row>
    <row r="69" spans="1:5">
      <c r="A69" s="5">
        <v>45736</v>
      </c>
      <c r="B69" t="s">
        <v>16</v>
      </c>
      <c r="C69" s="2">
        <v>216.13</v>
      </c>
      <c r="E69" t="s">
        <v>98</v>
      </c>
    </row>
    <row r="70" spans="1:5">
      <c r="A70" s="5">
        <v>45736</v>
      </c>
      <c r="B70" t="s">
        <v>16</v>
      </c>
      <c r="C70" s="2">
        <v>21.33</v>
      </c>
      <c r="E70" t="s">
        <v>98</v>
      </c>
    </row>
    <row r="71" spans="1:5">
      <c r="A71" s="5">
        <v>45737</v>
      </c>
      <c r="B71" t="s">
        <v>12</v>
      </c>
      <c r="C71" s="2">
        <v>11.98</v>
      </c>
    </row>
    <row r="72" spans="1:5">
      <c r="A72" s="5">
        <v>45737</v>
      </c>
      <c r="B72" t="s">
        <v>20</v>
      </c>
      <c r="C72" s="2">
        <v>44.51</v>
      </c>
      <c r="E72" s="15"/>
    </row>
    <row r="73" spans="1:5">
      <c r="A73" s="5">
        <v>45737</v>
      </c>
      <c r="B73" t="s">
        <v>21</v>
      </c>
      <c r="C73" s="2">
        <v>19.55</v>
      </c>
    </row>
    <row r="74" spans="1:5">
      <c r="A74" s="5">
        <v>45737</v>
      </c>
      <c r="B74" t="s">
        <v>16</v>
      </c>
      <c r="C74" s="2">
        <v>161.12</v>
      </c>
      <c r="E74" t="s">
        <v>98</v>
      </c>
    </row>
    <row r="75" spans="1:5">
      <c r="A75" s="5">
        <v>45737</v>
      </c>
      <c r="B75" t="s">
        <v>16</v>
      </c>
      <c r="C75" s="2">
        <v>75.099999999999994</v>
      </c>
      <c r="E75" t="s">
        <v>98</v>
      </c>
    </row>
    <row r="76" spans="1:5">
      <c r="A76" s="5">
        <v>45737</v>
      </c>
      <c r="B76" t="s">
        <v>27</v>
      </c>
      <c r="C76" s="2">
        <v>37.020000000000003</v>
      </c>
    </row>
    <row r="77" spans="1:5">
      <c r="A77" s="5">
        <v>45737</v>
      </c>
      <c r="B77" t="s">
        <v>24</v>
      </c>
      <c r="C77" s="2">
        <v>41.89</v>
      </c>
      <c r="E77" t="s">
        <v>99</v>
      </c>
    </row>
    <row r="78" spans="1:5">
      <c r="A78" s="5">
        <v>45737</v>
      </c>
      <c r="B78" t="s">
        <v>27</v>
      </c>
      <c r="C78" s="2">
        <v>9.66</v>
      </c>
      <c r="E78" t="s">
        <v>100</v>
      </c>
    </row>
    <row r="79" spans="1:5">
      <c r="A79" s="5">
        <v>45738</v>
      </c>
      <c r="B79" t="s">
        <v>27</v>
      </c>
      <c r="C79" s="2">
        <v>16.11</v>
      </c>
    </row>
    <row r="80" spans="1:5">
      <c r="A80" s="5">
        <v>45738</v>
      </c>
      <c r="B80" t="s">
        <v>27</v>
      </c>
      <c r="C80" s="2">
        <v>24.76</v>
      </c>
    </row>
    <row r="81" spans="1:5">
      <c r="A81" s="5">
        <v>45739</v>
      </c>
      <c r="B81" t="s">
        <v>12</v>
      </c>
      <c r="C81" s="2">
        <v>52.57</v>
      </c>
    </row>
    <row r="82" spans="1:5">
      <c r="D82" s="2" t="s">
        <v>43</v>
      </c>
    </row>
    <row r="83" spans="1:5">
      <c r="A83" s="5">
        <v>45732</v>
      </c>
      <c r="B83" t="s">
        <v>20</v>
      </c>
      <c r="C83" s="2">
        <v>37.08</v>
      </c>
    </row>
    <row r="84" spans="1:5">
      <c r="A84" s="5">
        <v>45733</v>
      </c>
      <c r="B84" t="s">
        <v>26</v>
      </c>
      <c r="C84" s="2">
        <v>328.16</v>
      </c>
    </row>
    <row r="85" spans="1:5">
      <c r="A85" s="5">
        <v>45736</v>
      </c>
      <c r="B85" t="s">
        <v>15</v>
      </c>
      <c r="C85" s="2">
        <v>170.96</v>
      </c>
    </row>
    <row r="86" spans="1:5">
      <c r="A86" s="5">
        <v>45736</v>
      </c>
      <c r="B86" t="s">
        <v>11</v>
      </c>
      <c r="C86" s="2">
        <v>35</v>
      </c>
    </row>
    <row r="87" spans="1:5">
      <c r="A87" s="5">
        <v>45711</v>
      </c>
      <c r="B87" t="s">
        <v>10</v>
      </c>
      <c r="C87" s="2">
        <v>82.5</v>
      </c>
      <c r="E87" t="s">
        <v>101</v>
      </c>
    </row>
    <row r="88" spans="1:5">
      <c r="D88" s="2" t="s">
        <v>47</v>
      </c>
    </row>
    <row r="89" spans="1:5">
      <c r="A89" s="5">
        <v>45740</v>
      </c>
      <c r="B89" t="s">
        <v>21</v>
      </c>
      <c r="C89" s="2">
        <v>19.38</v>
      </c>
    </row>
    <row r="90" spans="1:5">
      <c r="A90" s="5">
        <v>45740</v>
      </c>
      <c r="B90" t="s">
        <v>21</v>
      </c>
      <c r="C90" s="2">
        <v>0.44</v>
      </c>
    </row>
    <row r="91" spans="1:5">
      <c r="A91" s="5">
        <v>45741</v>
      </c>
      <c r="B91" t="s">
        <v>12</v>
      </c>
      <c r="C91" s="2">
        <v>9.68</v>
      </c>
    </row>
    <row r="92" spans="1:5">
      <c r="A92" s="5">
        <v>45742</v>
      </c>
      <c r="B92" t="s">
        <v>23</v>
      </c>
      <c r="C92" s="2">
        <v>24.5</v>
      </c>
    </row>
    <row r="93" spans="1:5">
      <c r="A93" s="5">
        <v>45742</v>
      </c>
      <c r="B93" t="s">
        <v>21</v>
      </c>
      <c r="C93" s="2">
        <v>14.05</v>
      </c>
    </row>
    <row r="94" spans="1:5">
      <c r="A94" s="5">
        <v>45744</v>
      </c>
      <c r="B94" t="s">
        <v>27</v>
      </c>
      <c r="C94" s="2">
        <v>44.68</v>
      </c>
    </row>
    <row r="95" spans="1:5">
      <c r="A95" s="5">
        <v>45745</v>
      </c>
      <c r="B95" t="s">
        <v>27</v>
      </c>
      <c r="C95" s="2">
        <v>43.53</v>
      </c>
    </row>
    <row r="96" spans="1:5">
      <c r="A96" s="5">
        <v>45745</v>
      </c>
      <c r="B96" t="s">
        <v>21</v>
      </c>
      <c r="C96" s="2">
        <v>68.23</v>
      </c>
      <c r="E96" t="s">
        <v>102</v>
      </c>
    </row>
    <row r="97" spans="1:5">
      <c r="A97" s="5">
        <v>45745</v>
      </c>
      <c r="B97" t="s">
        <v>12</v>
      </c>
      <c r="C97" s="2">
        <v>17.3</v>
      </c>
    </row>
    <row r="98" spans="1:5">
      <c r="A98" s="5">
        <v>45745</v>
      </c>
      <c r="B98" t="s">
        <v>16</v>
      </c>
      <c r="C98" s="2">
        <v>139.66999999999999</v>
      </c>
      <c r="E98" t="s">
        <v>103</v>
      </c>
    </row>
    <row r="99" spans="1:5">
      <c r="A99" s="5">
        <v>45747</v>
      </c>
      <c r="B99" t="s">
        <v>8</v>
      </c>
      <c r="C99" s="2">
        <v>22.55</v>
      </c>
      <c r="E99" t="s">
        <v>104</v>
      </c>
    </row>
    <row r="100" spans="1:5">
      <c r="A100" s="5">
        <v>45747</v>
      </c>
      <c r="B100" t="s">
        <v>12</v>
      </c>
      <c r="C100" s="2">
        <v>4.01</v>
      </c>
    </row>
    <row r="101" spans="1:5">
      <c r="A101" s="5">
        <v>45739</v>
      </c>
      <c r="B101" t="s">
        <v>21</v>
      </c>
      <c r="C101" s="2">
        <v>72.760000000000005</v>
      </c>
    </row>
    <row r="102" spans="1:5">
      <c r="D102" s="2" t="s">
        <v>43</v>
      </c>
    </row>
    <row r="103" spans="1:5">
      <c r="A103" s="5">
        <v>45743</v>
      </c>
      <c r="B103" t="s">
        <v>20</v>
      </c>
      <c r="C103" s="2">
        <v>25.13</v>
      </c>
    </row>
    <row r="104" spans="1:5">
      <c r="A104" s="5">
        <v>45746</v>
      </c>
      <c r="B104" t="s">
        <v>10</v>
      </c>
      <c r="C104" s="2">
        <v>19.52</v>
      </c>
    </row>
    <row r="105" spans="1:5">
      <c r="A105" s="5">
        <v>45746</v>
      </c>
      <c r="B105" t="s">
        <v>10</v>
      </c>
      <c r="C105" s="2">
        <v>19.649999999999999</v>
      </c>
    </row>
  </sheetData>
  <dataValidations count="2">
    <dataValidation type="list" allowBlank="1" showInputMessage="1" showErrorMessage="1" sqref="D27:D1048576" xr:uid="{D0FCD78F-92AD-4DBD-8785-21AF16BCACC1}">
      <formula1>"Chase, SchoolsFirst"</formula1>
    </dataValidation>
    <dataValidation type="list" allowBlank="1" showInputMessage="1" showErrorMessage="1" sqref="B27:B1048576" xr:uid="{AA988412-8A45-47D5-B158-3551643AD7A3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B6C-753F-4A58-B9E4-8398868B99E4}">
  <dimension ref="A1:J135"/>
  <sheetViews>
    <sheetView topLeftCell="B19" workbookViewId="0">
      <selection activeCell="D30" sqref="D30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4338.1500000000005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144.48000000000002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127.10999999999999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40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160.59</v>
      </c>
      <c r="G12" s="2"/>
      <c r="H12" s="12" t="s">
        <v>16</v>
      </c>
      <c r="I12" s="13">
        <v>500</v>
      </c>
      <c r="J12" s="13">
        <f>SUMIF($B$27:$B$1048576,"Emergency Savings",$C$27:$C$1048576)</f>
        <v>350.12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236.43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664.34000000000015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83.12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95.62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510.36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1128.1599999999999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120.72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D27" s="2" t="s">
        <v>47</v>
      </c>
      <c r="F27" t="s">
        <v>38</v>
      </c>
    </row>
    <row r="28" spans="1:10">
      <c r="A28" s="5">
        <v>45748</v>
      </c>
      <c r="B28" t="s">
        <v>24</v>
      </c>
      <c r="C28" s="2">
        <v>115.6</v>
      </c>
      <c r="E28" t="s">
        <v>105</v>
      </c>
      <c r="G28" s="2"/>
    </row>
    <row r="29" spans="1:10" ht="24.75">
      <c r="A29" s="5">
        <v>45748</v>
      </c>
      <c r="B29" t="s">
        <v>20</v>
      </c>
      <c r="C29" s="2">
        <v>15.48</v>
      </c>
      <c r="F29" s="6" t="s">
        <v>39</v>
      </c>
      <c r="G29" s="7">
        <f>SUM(E8,E14,I9,I18,I21,I14,I11,I10)</f>
        <v>1428.1</v>
      </c>
    </row>
    <row r="30" spans="1:10">
      <c r="A30" s="5">
        <v>45748</v>
      </c>
      <c r="B30" t="s">
        <v>16</v>
      </c>
      <c r="C30" s="2">
        <v>177.24</v>
      </c>
      <c r="E30" t="s">
        <v>106</v>
      </c>
      <c r="F30" t="s">
        <v>40</v>
      </c>
    </row>
    <row r="31" spans="1:10">
      <c r="A31" s="5">
        <v>45748</v>
      </c>
      <c r="B31" t="s">
        <v>21</v>
      </c>
      <c r="C31" s="2">
        <v>131.53</v>
      </c>
    </row>
    <row r="32" spans="1:10">
      <c r="A32" s="5">
        <v>45748</v>
      </c>
      <c r="B32" t="s">
        <v>20</v>
      </c>
      <c r="C32" s="2">
        <v>43.88</v>
      </c>
    </row>
    <row r="33" spans="1:7" ht="24.75">
      <c r="A33" s="5">
        <v>45748</v>
      </c>
      <c r="B33" t="s">
        <v>27</v>
      </c>
      <c r="C33" s="2">
        <v>16.11</v>
      </c>
      <c r="E33" t="s">
        <v>107</v>
      </c>
      <c r="F33" s="6" t="s">
        <v>41</v>
      </c>
      <c r="G33" s="7">
        <f>SUM(E10,I8,I12,I13,I17,I19,I20)</f>
        <v>1265</v>
      </c>
    </row>
    <row r="34" spans="1:7">
      <c r="A34" s="5">
        <v>45748</v>
      </c>
      <c r="B34" t="s">
        <v>24</v>
      </c>
      <c r="C34" s="2">
        <v>63.06</v>
      </c>
      <c r="E34" t="s">
        <v>105</v>
      </c>
      <c r="F34" t="s">
        <v>42</v>
      </c>
    </row>
    <row r="35" spans="1:7">
      <c r="A35" s="5">
        <v>45750</v>
      </c>
      <c r="B35" t="s">
        <v>16</v>
      </c>
      <c r="C35" s="2">
        <v>11.04</v>
      </c>
      <c r="E35" t="s">
        <v>108</v>
      </c>
    </row>
    <row r="36" spans="1:7">
      <c r="A36" s="5">
        <v>45750</v>
      </c>
      <c r="B36" t="s">
        <v>16</v>
      </c>
      <c r="C36" s="2">
        <v>13.23</v>
      </c>
      <c r="E36" t="s">
        <v>108</v>
      </c>
      <c r="F36" t="s">
        <v>91</v>
      </c>
    </row>
    <row r="37" spans="1:7">
      <c r="A37" s="5">
        <v>45750</v>
      </c>
      <c r="B37" t="s">
        <v>24</v>
      </c>
      <c r="C37" s="2">
        <v>30.03</v>
      </c>
      <c r="E37" t="s">
        <v>105</v>
      </c>
    </row>
    <row r="38" spans="1:7">
      <c r="A38" s="5">
        <v>45751</v>
      </c>
      <c r="B38" t="s">
        <v>21</v>
      </c>
      <c r="C38" s="2">
        <v>17.39</v>
      </c>
    </row>
    <row r="39" spans="1:7">
      <c r="A39" s="5">
        <v>45751</v>
      </c>
      <c r="B39" t="s">
        <v>21</v>
      </c>
      <c r="C39" s="2">
        <v>4.33</v>
      </c>
    </row>
    <row r="40" spans="1:7">
      <c r="A40" s="5">
        <v>45754</v>
      </c>
      <c r="B40" t="s">
        <v>27</v>
      </c>
      <c r="C40" s="2">
        <v>6.44</v>
      </c>
      <c r="E40" t="s">
        <v>109</v>
      </c>
    </row>
    <row r="41" spans="1:7">
      <c r="A41" s="5">
        <v>45754</v>
      </c>
      <c r="B41" t="s">
        <v>16</v>
      </c>
      <c r="C41" s="2">
        <v>71.56</v>
      </c>
      <c r="E41" t="s">
        <v>110</v>
      </c>
    </row>
    <row r="42" spans="1:7">
      <c r="A42" s="5">
        <v>45754</v>
      </c>
      <c r="B42" t="s">
        <v>21</v>
      </c>
      <c r="C42" s="2">
        <v>81.28</v>
      </c>
    </row>
    <row r="43" spans="1:7">
      <c r="A43" s="5">
        <v>45754</v>
      </c>
      <c r="B43" t="s">
        <v>14</v>
      </c>
      <c r="C43" s="2">
        <v>40</v>
      </c>
    </row>
    <row r="44" spans="1:7">
      <c r="A44" s="5">
        <v>45754</v>
      </c>
      <c r="B44" t="s">
        <v>23</v>
      </c>
      <c r="C44" s="2">
        <v>20</v>
      </c>
    </row>
    <row r="45" spans="1:7">
      <c r="A45" s="5">
        <v>45754</v>
      </c>
      <c r="B45" t="s">
        <v>20</v>
      </c>
      <c r="C45" s="2">
        <v>43.38</v>
      </c>
    </row>
    <row r="46" spans="1:7">
      <c r="A46" s="5">
        <v>45754</v>
      </c>
      <c r="B46" t="s">
        <v>21</v>
      </c>
      <c r="C46" s="2">
        <v>37.81</v>
      </c>
    </row>
    <row r="47" spans="1:7">
      <c r="A47" s="5">
        <v>45754</v>
      </c>
      <c r="B47" t="s">
        <v>21</v>
      </c>
      <c r="C47" s="2">
        <v>27.52</v>
      </c>
    </row>
    <row r="48" spans="1:7">
      <c r="A48" s="5">
        <v>45754</v>
      </c>
      <c r="B48" t="s">
        <v>16</v>
      </c>
      <c r="C48" s="2">
        <v>24.69</v>
      </c>
      <c r="E48" t="s">
        <v>111</v>
      </c>
    </row>
    <row r="49" spans="1:5">
      <c r="A49" s="5">
        <v>45755</v>
      </c>
      <c r="B49" t="s">
        <v>23</v>
      </c>
      <c r="C49" s="2">
        <v>45.13</v>
      </c>
      <c r="E49" t="s">
        <v>112</v>
      </c>
    </row>
    <row r="50" spans="1:5">
      <c r="A50" s="5">
        <v>45755</v>
      </c>
      <c r="B50" t="s">
        <v>27</v>
      </c>
      <c r="C50" s="2">
        <v>24.99</v>
      </c>
    </row>
    <row r="51" spans="1:5">
      <c r="A51" s="5">
        <v>45747</v>
      </c>
      <c r="B51" t="s">
        <v>16</v>
      </c>
      <c r="C51" s="2">
        <v>27.51</v>
      </c>
    </row>
    <row r="52" spans="1:5">
      <c r="D52" s="2" t="s">
        <v>47</v>
      </c>
    </row>
    <row r="53" spans="1:5">
      <c r="A53" s="5">
        <v>45756</v>
      </c>
      <c r="B53" t="s">
        <v>22</v>
      </c>
      <c r="C53" s="2">
        <v>29</v>
      </c>
      <c r="E53" t="s">
        <v>113</v>
      </c>
    </row>
    <row r="54" spans="1:5">
      <c r="A54" s="5">
        <v>45756</v>
      </c>
      <c r="B54" t="s">
        <v>23</v>
      </c>
      <c r="C54" s="2">
        <v>21.48</v>
      </c>
      <c r="E54" t="s">
        <v>114</v>
      </c>
    </row>
    <row r="55" spans="1:5">
      <c r="A55" s="5">
        <v>45756</v>
      </c>
      <c r="B55" t="s">
        <v>21</v>
      </c>
      <c r="C55" s="2">
        <v>16.36</v>
      </c>
    </row>
    <row r="56" spans="1:5">
      <c r="A56" s="5">
        <v>45756</v>
      </c>
      <c r="B56" t="s">
        <v>23</v>
      </c>
      <c r="C56" s="2">
        <v>9.01</v>
      </c>
    </row>
    <row r="57" spans="1:5">
      <c r="A57" s="5">
        <v>45757</v>
      </c>
      <c r="B57" t="s">
        <v>21</v>
      </c>
      <c r="C57" s="2">
        <v>25.04</v>
      </c>
    </row>
    <row r="58" spans="1:5">
      <c r="A58" s="5">
        <v>45758</v>
      </c>
      <c r="B58" t="s">
        <v>12</v>
      </c>
      <c r="C58" s="2">
        <v>12.74</v>
      </c>
    </row>
    <row r="59" spans="1:5">
      <c r="A59" s="5">
        <v>45758</v>
      </c>
      <c r="B59" t="s">
        <v>22</v>
      </c>
      <c r="C59" s="2">
        <v>54.12</v>
      </c>
      <c r="E59" t="s">
        <v>115</v>
      </c>
    </row>
    <row r="60" spans="1:5">
      <c r="A60" s="5">
        <v>45759</v>
      </c>
      <c r="B60" t="s">
        <v>27</v>
      </c>
      <c r="C60" s="2">
        <v>1.06</v>
      </c>
    </row>
    <row r="61" spans="1:5">
      <c r="A61" s="5">
        <v>45761</v>
      </c>
      <c r="B61" t="s">
        <v>21</v>
      </c>
      <c r="C61" s="2">
        <v>19.309999999999999</v>
      </c>
    </row>
    <row r="62" spans="1:5">
      <c r="A62" s="5">
        <v>45761</v>
      </c>
      <c r="B62" t="s">
        <v>21</v>
      </c>
      <c r="C62" s="2">
        <v>22.58</v>
      </c>
      <c r="E62" t="s">
        <v>116</v>
      </c>
    </row>
    <row r="63" spans="1:5">
      <c r="A63" s="5">
        <v>45762</v>
      </c>
      <c r="B63" t="s">
        <v>24</v>
      </c>
      <c r="C63" s="2">
        <v>39.57</v>
      </c>
      <c r="E63" s="15" t="s">
        <v>105</v>
      </c>
    </row>
    <row r="64" spans="1:5">
      <c r="A64" s="5">
        <v>45762</v>
      </c>
      <c r="B64" t="s">
        <v>20</v>
      </c>
      <c r="C64" s="2">
        <v>15.03</v>
      </c>
    </row>
    <row r="65" spans="1:5">
      <c r="A65" s="5">
        <v>45763</v>
      </c>
      <c r="B65" t="s">
        <v>21</v>
      </c>
      <c r="C65" s="2">
        <v>85.05</v>
      </c>
      <c r="E65" s="15"/>
    </row>
    <row r="66" spans="1:5">
      <c r="A66" s="5">
        <v>45763</v>
      </c>
      <c r="B66" t="s">
        <v>20</v>
      </c>
      <c r="C66" s="2">
        <v>39.54</v>
      </c>
    </row>
    <row r="67" spans="1:5">
      <c r="A67" s="5">
        <v>45763</v>
      </c>
      <c r="B67" t="s">
        <v>21</v>
      </c>
      <c r="C67" s="2">
        <v>17.3</v>
      </c>
    </row>
    <row r="68" spans="1:5">
      <c r="A68" s="5">
        <v>45764</v>
      </c>
      <c r="B68" t="s">
        <v>12</v>
      </c>
      <c r="C68" s="2">
        <v>9.49</v>
      </c>
    </row>
    <row r="69" spans="1:5">
      <c r="A69" s="5">
        <v>45764</v>
      </c>
      <c r="B69" t="s">
        <v>21</v>
      </c>
      <c r="C69" s="2">
        <v>25.76</v>
      </c>
    </row>
    <row r="70" spans="1:5">
      <c r="A70" s="5">
        <v>45764</v>
      </c>
      <c r="B70" t="s">
        <v>24</v>
      </c>
      <c r="C70" s="2">
        <v>9.66</v>
      </c>
      <c r="E70" t="s">
        <v>117</v>
      </c>
    </row>
    <row r="71" spans="1:5">
      <c r="A71" s="5">
        <v>45766</v>
      </c>
      <c r="B71" t="s">
        <v>21</v>
      </c>
      <c r="C71" s="2">
        <v>5.94</v>
      </c>
    </row>
    <row r="72" spans="1:5">
      <c r="A72" s="5">
        <v>45766</v>
      </c>
      <c r="B72" t="s">
        <v>21</v>
      </c>
      <c r="C72" s="2">
        <v>63.37</v>
      </c>
      <c r="E72" t="s">
        <v>118</v>
      </c>
    </row>
    <row r="73" spans="1:5">
      <c r="A73" s="5">
        <v>45766</v>
      </c>
      <c r="B73" t="s">
        <v>12</v>
      </c>
      <c r="C73" s="2">
        <v>7.58</v>
      </c>
      <c r="E73" s="15"/>
    </row>
    <row r="74" spans="1:5">
      <c r="A74" s="5">
        <v>45766</v>
      </c>
      <c r="B74" t="s">
        <v>21</v>
      </c>
      <c r="C74" s="2">
        <v>31.09</v>
      </c>
    </row>
    <row r="75" spans="1:5">
      <c r="A75" s="5">
        <v>45768</v>
      </c>
      <c r="B75" t="s">
        <v>12</v>
      </c>
      <c r="C75" s="2">
        <v>11.38</v>
      </c>
    </row>
    <row r="76" spans="1:5">
      <c r="A76" s="5">
        <v>45769</v>
      </c>
      <c r="B76" t="s">
        <v>27</v>
      </c>
      <c r="C76" s="2">
        <v>7.51</v>
      </c>
    </row>
    <row r="77" spans="1:5">
      <c r="A77" s="5">
        <v>45769</v>
      </c>
      <c r="B77" t="s">
        <v>27</v>
      </c>
      <c r="C77" s="2">
        <v>38.840000000000003</v>
      </c>
    </row>
    <row r="78" spans="1:5">
      <c r="A78" s="5">
        <v>45769</v>
      </c>
      <c r="B78" t="s">
        <v>27</v>
      </c>
      <c r="C78" s="2">
        <v>9.66</v>
      </c>
    </row>
    <row r="79" spans="1:5">
      <c r="A79" s="5">
        <v>45769</v>
      </c>
      <c r="B79" t="s">
        <v>27</v>
      </c>
      <c r="C79" s="2">
        <v>16.11</v>
      </c>
    </row>
    <row r="80" spans="1:5">
      <c r="A80" s="5">
        <v>45769</v>
      </c>
      <c r="B80" t="s">
        <v>21</v>
      </c>
      <c r="C80" s="2">
        <v>7.99</v>
      </c>
    </row>
    <row r="81" spans="1:5">
      <c r="A81" s="5">
        <v>45769</v>
      </c>
      <c r="B81" t="s">
        <v>21</v>
      </c>
      <c r="C81" s="2">
        <v>44.69</v>
      </c>
    </row>
    <row r="82" spans="1:5">
      <c r="D82" s="2" t="s">
        <v>43</v>
      </c>
    </row>
    <row r="83" spans="1:5">
      <c r="A83" s="5">
        <v>45758</v>
      </c>
      <c r="B83" t="s">
        <v>16</v>
      </c>
      <c r="C83" s="2">
        <v>24.85</v>
      </c>
      <c r="E83" t="s">
        <v>119</v>
      </c>
    </row>
    <row r="84" spans="1:5">
      <c r="A84" s="5">
        <v>45758</v>
      </c>
      <c r="B84" t="s">
        <v>12</v>
      </c>
      <c r="C84" s="2">
        <v>9.8699999999999992</v>
      </c>
    </row>
    <row r="85" spans="1:5">
      <c r="A85" s="5">
        <v>45760</v>
      </c>
      <c r="B85" t="s">
        <v>24</v>
      </c>
      <c r="C85" s="2">
        <v>58.02</v>
      </c>
      <c r="E85" t="s">
        <v>120</v>
      </c>
    </row>
    <row r="86" spans="1:5">
      <c r="A86" s="5">
        <v>45764</v>
      </c>
      <c r="B86" t="s">
        <v>24</v>
      </c>
      <c r="C86" s="2">
        <v>64.900000000000006</v>
      </c>
      <c r="E86" t="s">
        <v>117</v>
      </c>
    </row>
    <row r="87" spans="1:5">
      <c r="A87" s="5">
        <v>45764</v>
      </c>
      <c r="B87" t="s">
        <v>15</v>
      </c>
      <c r="C87" s="2">
        <v>160.59</v>
      </c>
    </row>
    <row r="88" spans="1:5">
      <c r="A88" s="5">
        <v>45764</v>
      </c>
      <c r="B88" t="s">
        <v>12</v>
      </c>
      <c r="C88" s="2">
        <v>20.239999999999998</v>
      </c>
    </row>
    <row r="89" spans="1:5">
      <c r="A89" s="5">
        <v>45767</v>
      </c>
      <c r="B89" t="s">
        <v>10</v>
      </c>
      <c r="C89" s="2">
        <v>26.33</v>
      </c>
    </row>
    <row r="90" spans="1:5">
      <c r="A90" s="5">
        <v>45768</v>
      </c>
      <c r="B90" t="s">
        <v>12</v>
      </c>
      <c r="C90" s="2">
        <v>11.38</v>
      </c>
    </row>
    <row r="91" spans="1:5">
      <c r="A91" s="5">
        <v>45768</v>
      </c>
      <c r="B91" t="s">
        <v>11</v>
      </c>
      <c r="C91" s="2">
        <v>35</v>
      </c>
    </row>
    <row r="92" spans="1:5">
      <c r="A92" s="5">
        <v>45769</v>
      </c>
      <c r="B92" t="s">
        <v>20</v>
      </c>
      <c r="C92" s="2">
        <v>20.05</v>
      </c>
    </row>
    <row r="93" spans="1:5">
      <c r="A93" s="5">
        <v>45771</v>
      </c>
      <c r="B93" t="s">
        <v>12</v>
      </c>
      <c r="C93" s="2">
        <v>36.020000000000003</v>
      </c>
    </row>
    <row r="94" spans="1:5">
      <c r="D94" s="2" t="s">
        <v>47</v>
      </c>
    </row>
    <row r="95" spans="1:5">
      <c r="A95" s="5">
        <v>45771</v>
      </c>
      <c r="C95" s="2">
        <v>37.53</v>
      </c>
      <c r="E95" t="s">
        <v>121</v>
      </c>
    </row>
    <row r="96" spans="1:5">
      <c r="A96" s="5">
        <v>45772</v>
      </c>
      <c r="B96" t="s">
        <v>12</v>
      </c>
      <c r="C96" s="2">
        <v>6.78</v>
      </c>
    </row>
    <row r="97" spans="1:5">
      <c r="A97" s="5">
        <v>45772</v>
      </c>
      <c r="B97" t="s">
        <v>20</v>
      </c>
      <c r="C97" s="2">
        <v>48.44</v>
      </c>
    </row>
    <row r="98" spans="1:5">
      <c r="A98" s="5">
        <v>45772</v>
      </c>
      <c r="C98" s="2">
        <v>79.400000000000006</v>
      </c>
      <c r="E98" t="s">
        <v>122</v>
      </c>
    </row>
    <row r="99" spans="1:5">
      <c r="A99" s="5">
        <v>45772</v>
      </c>
      <c r="C99" s="2">
        <v>48.21</v>
      </c>
      <c r="E99" t="s">
        <v>123</v>
      </c>
    </row>
    <row r="100" spans="1:5">
      <c r="A100" s="5">
        <v>45773</v>
      </c>
      <c r="B100" t="s">
        <v>20</v>
      </c>
      <c r="C100" s="2">
        <v>4.49</v>
      </c>
    </row>
    <row r="101" spans="1:5">
      <c r="A101" s="5">
        <v>45773</v>
      </c>
      <c r="B101" t="s">
        <v>20</v>
      </c>
      <c r="C101" s="2">
        <v>6.14</v>
      </c>
    </row>
    <row r="102" spans="1:5">
      <c r="A102" s="5">
        <v>45774</v>
      </c>
      <c r="B102" t="s">
        <v>24</v>
      </c>
      <c r="C102" s="2">
        <v>5.99</v>
      </c>
      <c r="E102" t="s">
        <v>124</v>
      </c>
    </row>
    <row r="103" spans="1:5">
      <c r="A103" s="5">
        <v>45775</v>
      </c>
      <c r="B103" t="s">
        <v>10</v>
      </c>
      <c r="C103" s="2">
        <v>118.15</v>
      </c>
      <c r="E103" t="s">
        <v>125</v>
      </c>
    </row>
    <row r="104" spans="1:5">
      <c r="A104" s="5">
        <v>45775</v>
      </c>
      <c r="B104" t="s">
        <v>24</v>
      </c>
      <c r="C104" s="2">
        <v>18.27</v>
      </c>
      <c r="E104" t="s">
        <v>126</v>
      </c>
    </row>
    <row r="105" spans="1:5">
      <c r="A105" s="5">
        <v>45775</v>
      </c>
      <c r="B105" t="s">
        <v>26</v>
      </c>
      <c r="C105" s="2">
        <v>76.06</v>
      </c>
    </row>
    <row r="106" spans="1:5">
      <c r="A106" s="5">
        <v>45775</v>
      </c>
      <c r="B106" t="s">
        <v>12</v>
      </c>
      <c r="C106" s="2">
        <v>1.63</v>
      </c>
    </row>
    <row r="107" spans="1:5">
      <c r="A107" s="5">
        <v>45775</v>
      </c>
      <c r="B107" t="s">
        <v>24</v>
      </c>
      <c r="C107" s="2">
        <v>26.85</v>
      </c>
      <c r="E107" t="s">
        <v>105</v>
      </c>
    </row>
    <row r="108" spans="1:5">
      <c r="A108" s="5">
        <v>45775</v>
      </c>
      <c r="B108" t="s">
        <v>24</v>
      </c>
      <c r="C108" s="2">
        <v>78.41</v>
      </c>
    </row>
    <row r="109" spans="1:5">
      <c r="A109" s="5">
        <v>45775</v>
      </c>
      <c r="B109" t="s">
        <v>26</v>
      </c>
      <c r="C109" s="2">
        <v>32.76</v>
      </c>
    </row>
    <row r="110" spans="1:5">
      <c r="D110" s="2" t="s">
        <v>43</v>
      </c>
    </row>
    <row r="111" spans="1:5">
      <c r="A111" s="5">
        <v>45776</v>
      </c>
      <c r="B111" t="s">
        <v>26</v>
      </c>
      <c r="C111" s="2">
        <v>160.12</v>
      </c>
      <c r="E111" t="s">
        <v>127</v>
      </c>
    </row>
    <row r="112" spans="1:5">
      <c r="A112" s="5">
        <v>45777</v>
      </c>
      <c r="B112" t="s">
        <v>26</v>
      </c>
      <c r="C112" s="2">
        <v>100.26</v>
      </c>
      <c r="E112" t="s">
        <v>21</v>
      </c>
    </row>
    <row r="113" spans="1:5">
      <c r="A113" s="5">
        <v>45777</v>
      </c>
      <c r="B113" t="s">
        <v>26</v>
      </c>
      <c r="C113" s="2">
        <v>83.88</v>
      </c>
      <c r="E113" t="s">
        <v>128</v>
      </c>
    </row>
    <row r="114" spans="1:5">
      <c r="A114" s="5">
        <v>414671</v>
      </c>
      <c r="B114" t="s">
        <v>26</v>
      </c>
      <c r="C114" s="2">
        <v>19.350000000000001</v>
      </c>
      <c r="E114" t="s">
        <v>129</v>
      </c>
    </row>
    <row r="116" spans="1:5">
      <c r="A116" s="5">
        <v>45778</v>
      </c>
      <c r="B116" t="s">
        <v>26</v>
      </c>
      <c r="C116" s="2">
        <v>8.18</v>
      </c>
      <c r="E116" t="s">
        <v>130</v>
      </c>
    </row>
    <row r="117" spans="1:5">
      <c r="A117" s="5">
        <v>45778</v>
      </c>
      <c r="B117" t="s">
        <v>26</v>
      </c>
      <c r="C117" s="2">
        <v>42.35</v>
      </c>
      <c r="E117" t="s">
        <v>131</v>
      </c>
    </row>
    <row r="118" spans="1:5">
      <c r="A118" s="5">
        <v>45778</v>
      </c>
      <c r="B118" t="s">
        <v>26</v>
      </c>
      <c r="C118" s="2">
        <v>15.78</v>
      </c>
      <c r="E118" t="s">
        <v>132</v>
      </c>
    </row>
    <row r="119" spans="1:5">
      <c r="A119" s="5">
        <v>45778</v>
      </c>
      <c r="B119" t="s">
        <v>26</v>
      </c>
      <c r="C119" s="2">
        <v>28.97</v>
      </c>
      <c r="E119" t="s">
        <v>129</v>
      </c>
    </row>
    <row r="120" spans="1:5">
      <c r="A120" s="5">
        <v>45778</v>
      </c>
      <c r="B120" t="s">
        <v>26</v>
      </c>
      <c r="C120" s="2">
        <v>58.12</v>
      </c>
      <c r="E120" t="s">
        <v>133</v>
      </c>
    </row>
    <row r="121" spans="1:5">
      <c r="A121" s="5">
        <v>45778</v>
      </c>
      <c r="B121" t="s">
        <v>26</v>
      </c>
      <c r="C121" s="2">
        <v>4.28</v>
      </c>
    </row>
    <row r="122" spans="1:5">
      <c r="A122" s="5">
        <v>45778</v>
      </c>
      <c r="B122" t="s">
        <v>26</v>
      </c>
      <c r="C122" s="2">
        <v>11.98</v>
      </c>
    </row>
    <row r="123" spans="1:5">
      <c r="A123" s="5">
        <v>45778</v>
      </c>
      <c r="B123" t="s">
        <v>26</v>
      </c>
      <c r="C123" s="2">
        <v>15.03</v>
      </c>
    </row>
    <row r="124" spans="1:5">
      <c r="A124" s="5">
        <v>45779</v>
      </c>
      <c r="B124" t="s">
        <v>26</v>
      </c>
      <c r="C124" s="2">
        <v>19.350000000000001</v>
      </c>
    </row>
    <row r="125" spans="1:5">
      <c r="A125" s="5">
        <v>45779</v>
      </c>
      <c r="B125" t="s">
        <v>26</v>
      </c>
      <c r="C125" s="2">
        <v>66.39</v>
      </c>
    </row>
    <row r="126" spans="1:5">
      <c r="A126" s="5">
        <v>45780</v>
      </c>
      <c r="B126" t="s">
        <v>26</v>
      </c>
      <c r="C126" s="2">
        <v>31.83</v>
      </c>
    </row>
    <row r="127" spans="1:5">
      <c r="A127" s="5">
        <v>45780</v>
      </c>
      <c r="B127" t="s">
        <v>26</v>
      </c>
      <c r="C127" s="2">
        <v>8.2799999999999994</v>
      </c>
    </row>
    <row r="128" spans="1:5">
      <c r="A128" s="5">
        <v>45780</v>
      </c>
      <c r="B128" t="s">
        <v>26</v>
      </c>
      <c r="C128" s="2">
        <v>84.21</v>
      </c>
      <c r="E128" t="s">
        <v>134</v>
      </c>
    </row>
    <row r="129" spans="1:3">
      <c r="A129" s="5">
        <v>45781</v>
      </c>
      <c r="B129" t="s">
        <v>26</v>
      </c>
      <c r="C129" s="2">
        <v>25</v>
      </c>
    </row>
    <row r="130" spans="1:3">
      <c r="A130" s="5">
        <v>45781</v>
      </c>
      <c r="B130" t="s">
        <v>26</v>
      </c>
      <c r="C130" s="2">
        <v>101.81</v>
      </c>
    </row>
    <row r="131" spans="1:3">
      <c r="A131" s="5">
        <v>45781</v>
      </c>
      <c r="B131" t="s">
        <v>26</v>
      </c>
      <c r="C131" s="2">
        <v>16.05</v>
      </c>
    </row>
    <row r="132" spans="1:3">
      <c r="A132" s="5">
        <v>45781</v>
      </c>
      <c r="B132" t="s">
        <v>26</v>
      </c>
      <c r="C132" s="2">
        <v>23.01</v>
      </c>
    </row>
    <row r="133" spans="1:3">
      <c r="A133" s="5">
        <v>45781</v>
      </c>
      <c r="B133" t="s">
        <v>26</v>
      </c>
      <c r="C133" s="2">
        <v>60</v>
      </c>
    </row>
    <row r="134" spans="1:3">
      <c r="A134" s="5">
        <v>45781</v>
      </c>
      <c r="B134" t="s">
        <v>26</v>
      </c>
      <c r="C134" s="2">
        <v>8.2799999999999994</v>
      </c>
    </row>
    <row r="135" spans="1:3">
      <c r="A135" s="5">
        <v>45781</v>
      </c>
      <c r="B135" t="s">
        <v>26</v>
      </c>
      <c r="C135" s="2">
        <v>26.83</v>
      </c>
    </row>
  </sheetData>
  <dataValidations count="2">
    <dataValidation type="list" allowBlank="1" showInputMessage="1" showErrorMessage="1" sqref="B27:B1048576" xr:uid="{B28A41A6-62C2-4343-808E-0EBB8B19A9D6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  <dataValidation type="list" allowBlank="1" showInputMessage="1" showErrorMessage="1" sqref="D27:D1048576" xr:uid="{82A106E1-FF0B-489B-B60C-142F6B3213F5}">
      <formula1>"Chase, SchoolsFirst"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625C-B1BF-48AC-9603-BF8E9C9C6333}">
  <dimension ref="A1:J96"/>
  <sheetViews>
    <sheetView topLeftCell="A19" workbookViewId="0">
      <selection activeCell="E97" sqref="E97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3218.14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6248.2199999999993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23.02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35</v>
      </c>
      <c r="G10" s="2"/>
      <c r="H10" s="12" t="s">
        <v>12</v>
      </c>
      <c r="I10" s="13">
        <v>50</v>
      </c>
      <c r="J10" s="13">
        <f>SUMIF($B$27:$B$1048576,"Dining Out",$C$27:$C$1048576)</f>
        <v>42.239999999999995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95.54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161.91</v>
      </c>
      <c r="G12" s="2"/>
      <c r="H12" s="12" t="s">
        <v>16</v>
      </c>
      <c r="I12" s="13">
        <v>500</v>
      </c>
      <c r="J12" s="13">
        <f>SUMIF($B$27:$B$1048576,"Emergency Savings",$C$27:$C$1048576)</f>
        <v>269.12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642.1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125.98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448.97000000000014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129.47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636.56999999999994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470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138.22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3982.22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D27" s="2" t="s">
        <v>47</v>
      </c>
      <c r="F27" t="s">
        <v>38</v>
      </c>
    </row>
    <row r="28" spans="1:10">
      <c r="A28" s="5">
        <v>45780</v>
      </c>
      <c r="B28" t="s">
        <v>26</v>
      </c>
      <c r="C28" s="2">
        <v>11</v>
      </c>
      <c r="G28" s="2"/>
    </row>
    <row r="29" spans="1:10" ht="24.75">
      <c r="A29" s="5">
        <v>45781</v>
      </c>
      <c r="B29" t="s">
        <v>24</v>
      </c>
      <c r="C29" s="2">
        <v>10.95</v>
      </c>
      <c r="E29" t="s">
        <v>135</v>
      </c>
      <c r="F29" s="6" t="s">
        <v>39</v>
      </c>
      <c r="G29" s="7">
        <f>SUM(E8,E14,I9,I18,I21,I14,I11,I10)</f>
        <v>1428.1</v>
      </c>
    </row>
    <row r="30" spans="1:10">
      <c r="A30" s="5">
        <v>45782</v>
      </c>
      <c r="B30" t="s">
        <v>21</v>
      </c>
      <c r="C30" s="2">
        <v>57.66</v>
      </c>
      <c r="F30" t="s">
        <v>40</v>
      </c>
    </row>
    <row r="31" spans="1:10">
      <c r="A31" s="5">
        <v>45782</v>
      </c>
      <c r="B31" t="s">
        <v>21</v>
      </c>
      <c r="C31" s="2">
        <v>12.3</v>
      </c>
    </row>
    <row r="32" spans="1:10">
      <c r="A32" s="5">
        <v>45782</v>
      </c>
      <c r="B32" t="s">
        <v>21</v>
      </c>
      <c r="C32" s="2">
        <v>39.83</v>
      </c>
    </row>
    <row r="33" spans="1:7" ht="24.75">
      <c r="A33" s="5">
        <v>45784</v>
      </c>
      <c r="B33" t="s">
        <v>27</v>
      </c>
      <c r="C33" s="2">
        <v>6.44</v>
      </c>
      <c r="F33" s="6" t="s">
        <v>41</v>
      </c>
      <c r="G33" s="7">
        <f>SUM(E10,I8,I12,I13,I17,I19,I20)</f>
        <v>1265</v>
      </c>
    </row>
    <row r="34" spans="1:7">
      <c r="A34" s="5">
        <v>45785</v>
      </c>
      <c r="B34" t="s">
        <v>16</v>
      </c>
      <c r="C34" s="2">
        <v>42.94</v>
      </c>
      <c r="E34" t="s">
        <v>136</v>
      </c>
      <c r="F34" t="s">
        <v>42</v>
      </c>
    </row>
    <row r="35" spans="1:7">
      <c r="A35" s="5">
        <v>45785</v>
      </c>
      <c r="B35" t="s">
        <v>21</v>
      </c>
      <c r="C35" s="2">
        <v>27.69</v>
      </c>
    </row>
    <row r="36" spans="1:7">
      <c r="A36" s="5">
        <v>45785</v>
      </c>
      <c r="B36" t="s">
        <v>21</v>
      </c>
      <c r="C36" s="2">
        <v>13.09</v>
      </c>
      <c r="F36" s="23" t="s">
        <v>137</v>
      </c>
    </row>
    <row r="37" spans="1:7">
      <c r="A37" s="5">
        <v>45785</v>
      </c>
      <c r="B37" t="s">
        <v>21</v>
      </c>
      <c r="C37" s="2">
        <v>4.83</v>
      </c>
    </row>
    <row r="38" spans="1:7">
      <c r="A38" s="5">
        <v>45786</v>
      </c>
      <c r="B38" t="s">
        <v>27</v>
      </c>
      <c r="C38" s="2">
        <v>24.99</v>
      </c>
    </row>
    <row r="39" spans="1:7">
      <c r="A39" s="5">
        <v>45789</v>
      </c>
      <c r="B39" t="s">
        <v>21</v>
      </c>
      <c r="C39" s="2">
        <v>77.72</v>
      </c>
    </row>
    <row r="40" spans="1:7">
      <c r="A40" s="5">
        <v>45789</v>
      </c>
      <c r="B40" t="s">
        <v>14</v>
      </c>
      <c r="C40" s="2">
        <v>20</v>
      </c>
      <c r="E40" t="s">
        <v>138</v>
      </c>
    </row>
    <row r="41" spans="1:7" s="23" customFormat="1">
      <c r="A41" s="22">
        <v>45789</v>
      </c>
      <c r="B41" s="23" t="s">
        <v>23</v>
      </c>
      <c r="C41" s="24">
        <v>12</v>
      </c>
      <c r="D41" s="24"/>
      <c r="E41" s="23" t="s">
        <v>139</v>
      </c>
    </row>
    <row r="42" spans="1:7">
      <c r="A42" s="5">
        <v>45789</v>
      </c>
      <c r="B42" t="s">
        <v>27</v>
      </c>
      <c r="C42" s="2">
        <v>19</v>
      </c>
      <c r="E42" t="s">
        <v>140</v>
      </c>
    </row>
    <row r="43" spans="1:7">
      <c r="A43" s="5">
        <v>45789</v>
      </c>
      <c r="B43" t="s">
        <v>20</v>
      </c>
      <c r="C43" s="2">
        <v>45.8</v>
      </c>
    </row>
    <row r="44" spans="1:7">
      <c r="A44" s="5">
        <v>45789</v>
      </c>
      <c r="B44" t="s">
        <v>21</v>
      </c>
      <c r="C44" s="2">
        <v>12.66</v>
      </c>
    </row>
    <row r="45" spans="1:7">
      <c r="A45" s="5">
        <v>45789</v>
      </c>
      <c r="B45" t="s">
        <v>27</v>
      </c>
      <c r="C45" s="2">
        <v>1.06</v>
      </c>
    </row>
    <row r="46" spans="1:7">
      <c r="A46" s="5">
        <v>45791</v>
      </c>
      <c r="B46" t="s">
        <v>21</v>
      </c>
      <c r="C46" s="2">
        <v>27.08</v>
      </c>
    </row>
    <row r="47" spans="1:7">
      <c r="A47" s="5">
        <v>45791</v>
      </c>
      <c r="B47" t="s">
        <v>21</v>
      </c>
      <c r="C47" s="2">
        <v>11.35</v>
      </c>
    </row>
    <row r="48" spans="1:7">
      <c r="A48" s="5">
        <v>45793</v>
      </c>
      <c r="B48" t="s">
        <v>21</v>
      </c>
      <c r="C48" s="2">
        <v>20.97</v>
      </c>
    </row>
    <row r="49" spans="1:5">
      <c r="A49" s="5">
        <v>45793</v>
      </c>
      <c r="B49" t="s">
        <v>21</v>
      </c>
      <c r="C49" s="2">
        <v>2.16</v>
      </c>
    </row>
    <row r="50" spans="1:5" s="23" customFormat="1">
      <c r="A50" s="22">
        <v>45793</v>
      </c>
      <c r="B50" s="23" t="s">
        <v>23</v>
      </c>
      <c r="C50" s="24">
        <v>40</v>
      </c>
      <c r="D50" s="24"/>
      <c r="E50" s="23" t="s">
        <v>141</v>
      </c>
    </row>
    <row r="51" spans="1:5">
      <c r="A51" s="5">
        <v>45793</v>
      </c>
      <c r="B51" t="s">
        <v>21</v>
      </c>
      <c r="C51" s="2">
        <v>88.15</v>
      </c>
    </row>
    <row r="52" spans="1:5">
      <c r="A52" s="5">
        <v>45793</v>
      </c>
      <c r="B52" t="s">
        <v>12</v>
      </c>
      <c r="C52" s="2">
        <v>12.44</v>
      </c>
    </row>
    <row r="53" spans="1:5">
      <c r="A53" s="5">
        <v>45429</v>
      </c>
      <c r="B53" t="s">
        <v>24</v>
      </c>
      <c r="C53" s="2">
        <v>100.75</v>
      </c>
      <c r="E53" t="s">
        <v>142</v>
      </c>
    </row>
    <row r="54" spans="1:5">
      <c r="A54" s="5">
        <v>45794</v>
      </c>
      <c r="B54" t="s">
        <v>21</v>
      </c>
      <c r="C54" s="2">
        <v>18.07</v>
      </c>
    </row>
    <row r="55" spans="1:5">
      <c r="A55" s="5">
        <v>45795</v>
      </c>
      <c r="B55" t="s">
        <v>21</v>
      </c>
      <c r="C55" s="2">
        <v>35.409999999999997</v>
      </c>
    </row>
    <row r="56" spans="1:5">
      <c r="D56" s="2" t="s">
        <v>43</v>
      </c>
    </row>
    <row r="57" spans="1:5">
      <c r="A57" s="5">
        <v>45782</v>
      </c>
      <c r="B57" t="s">
        <v>26</v>
      </c>
      <c r="C57" s="2">
        <v>459</v>
      </c>
      <c r="E57" t="s">
        <v>143</v>
      </c>
    </row>
    <row r="58" spans="1:5">
      <c r="A58" s="5">
        <v>45783</v>
      </c>
      <c r="B58" t="s">
        <v>10</v>
      </c>
      <c r="C58" s="2">
        <v>12.02</v>
      </c>
    </row>
    <row r="59" spans="1:5">
      <c r="A59" s="5">
        <v>45783</v>
      </c>
      <c r="B59" t="s">
        <v>12</v>
      </c>
      <c r="C59" s="2">
        <v>6.5</v>
      </c>
      <c r="E59" t="s">
        <v>144</v>
      </c>
    </row>
    <row r="60" spans="1:5">
      <c r="A60" s="5">
        <v>45784</v>
      </c>
      <c r="B60" t="s">
        <v>20</v>
      </c>
      <c r="C60" s="2">
        <v>23.36</v>
      </c>
    </row>
    <row r="61" spans="1:5">
      <c r="A61" s="5">
        <v>45788</v>
      </c>
      <c r="B61" t="s">
        <v>24</v>
      </c>
      <c r="C61" s="2">
        <v>15.61</v>
      </c>
      <c r="E61" t="s">
        <v>145</v>
      </c>
    </row>
    <row r="62" spans="1:5">
      <c r="A62" s="5">
        <v>45788</v>
      </c>
      <c r="B62" t="s">
        <v>24</v>
      </c>
      <c r="C62" s="2">
        <v>159.03</v>
      </c>
      <c r="E62" t="s">
        <v>146</v>
      </c>
    </row>
    <row r="63" spans="1:5">
      <c r="A63" s="5">
        <v>45788</v>
      </c>
      <c r="B63" t="s">
        <v>27</v>
      </c>
      <c r="C63" s="2">
        <v>29.48</v>
      </c>
      <c r="E63" s="15" t="s">
        <v>147</v>
      </c>
    </row>
    <row r="64" spans="1:5">
      <c r="A64" s="5">
        <v>45789</v>
      </c>
      <c r="B64" t="s">
        <v>16</v>
      </c>
      <c r="C64" s="2">
        <v>36</v>
      </c>
      <c r="E64" t="s">
        <v>148</v>
      </c>
    </row>
    <row r="65" spans="1:5">
      <c r="A65" s="5">
        <v>45791</v>
      </c>
      <c r="B65" t="s">
        <v>27</v>
      </c>
      <c r="C65" s="2">
        <v>18.43</v>
      </c>
      <c r="E65" s="15" t="s">
        <v>149</v>
      </c>
    </row>
    <row r="66" spans="1:5" s="23" customFormat="1">
      <c r="A66" s="22">
        <v>45791</v>
      </c>
      <c r="B66" s="23" t="s">
        <v>23</v>
      </c>
      <c r="C66" s="24">
        <v>9.57</v>
      </c>
      <c r="D66" s="24"/>
      <c r="E66" s="23" t="s">
        <v>150</v>
      </c>
    </row>
    <row r="67" spans="1:5">
      <c r="A67" s="5">
        <v>45791</v>
      </c>
      <c r="B67" t="s">
        <v>16</v>
      </c>
      <c r="C67" s="2">
        <v>26.84</v>
      </c>
      <c r="E67" t="s">
        <v>151</v>
      </c>
    </row>
    <row r="68" spans="1:5">
      <c r="A68" s="5">
        <v>45795</v>
      </c>
      <c r="B68" t="s">
        <v>24</v>
      </c>
      <c r="C68" s="2">
        <v>5.36</v>
      </c>
      <c r="E68" t="s">
        <v>152</v>
      </c>
    </row>
    <row r="69" spans="1:5">
      <c r="A69" s="5">
        <v>45795</v>
      </c>
      <c r="B69" t="s">
        <v>24</v>
      </c>
      <c r="C69" s="2">
        <v>32.46</v>
      </c>
      <c r="E69" t="s">
        <v>153</v>
      </c>
    </row>
    <row r="70" spans="1:5">
      <c r="A70" s="5">
        <v>45796</v>
      </c>
      <c r="B70" t="s">
        <v>14</v>
      </c>
      <c r="C70" s="2">
        <v>17.7</v>
      </c>
      <c r="E70" t="s">
        <v>154</v>
      </c>
    </row>
    <row r="71" spans="1:5" s="23" customFormat="1">
      <c r="A71" s="22">
        <v>45797</v>
      </c>
      <c r="B71" s="23" t="s">
        <v>11</v>
      </c>
      <c r="C71" s="24">
        <v>35</v>
      </c>
      <c r="D71" s="24"/>
      <c r="E71" s="23" t="s">
        <v>155</v>
      </c>
    </row>
    <row r="72" spans="1:5">
      <c r="A72" s="5">
        <v>45797</v>
      </c>
      <c r="B72" t="s">
        <v>15</v>
      </c>
      <c r="C72" s="2">
        <v>161.91</v>
      </c>
    </row>
    <row r="73" spans="1:5">
      <c r="D73" s="2" t="s">
        <v>47</v>
      </c>
      <c r="E73" s="15"/>
    </row>
    <row r="74" spans="1:5">
      <c r="A74" s="5">
        <v>45798</v>
      </c>
      <c r="B74" t="s">
        <v>27</v>
      </c>
      <c r="C74" s="2">
        <v>1.1299999999999999</v>
      </c>
    </row>
    <row r="75" spans="1:5">
      <c r="A75" s="5">
        <v>45798</v>
      </c>
      <c r="B75" t="s">
        <v>23</v>
      </c>
      <c r="C75" s="2">
        <v>49.29</v>
      </c>
    </row>
    <row r="76" spans="1:5">
      <c r="A76" s="5">
        <v>45798</v>
      </c>
      <c r="B76" t="s">
        <v>24</v>
      </c>
      <c r="C76" s="2">
        <v>45.57</v>
      </c>
      <c r="E76" t="s">
        <v>156</v>
      </c>
    </row>
    <row r="77" spans="1:5">
      <c r="A77" s="5">
        <v>45799</v>
      </c>
      <c r="B77" t="s">
        <v>20</v>
      </c>
      <c r="C77" s="2">
        <v>47.68</v>
      </c>
    </row>
    <row r="78" spans="1:5">
      <c r="A78" s="5">
        <v>45799</v>
      </c>
      <c r="B78" t="s">
        <v>27</v>
      </c>
      <c r="C78" s="2">
        <v>16.11</v>
      </c>
      <c r="E78" t="s">
        <v>157</v>
      </c>
    </row>
    <row r="79" spans="1:5">
      <c r="A79" s="5">
        <v>45799</v>
      </c>
      <c r="B79" t="s">
        <v>24</v>
      </c>
      <c r="C79" s="2">
        <v>51.41</v>
      </c>
      <c r="E79" t="s">
        <v>156</v>
      </c>
    </row>
    <row r="80" spans="1:5">
      <c r="A80" s="5">
        <v>45799</v>
      </c>
      <c r="B80" t="s">
        <v>23</v>
      </c>
      <c r="C80" s="2">
        <v>18.61</v>
      </c>
    </row>
    <row r="81" spans="1:5">
      <c r="A81" s="5">
        <v>45799</v>
      </c>
      <c r="B81" t="s">
        <v>27</v>
      </c>
      <c r="C81" s="2">
        <v>10.73</v>
      </c>
    </row>
    <row r="82" spans="1:5">
      <c r="A82" s="5">
        <v>45800</v>
      </c>
      <c r="B82" t="s">
        <v>24</v>
      </c>
      <c r="C82" s="2">
        <v>137.54</v>
      </c>
      <c r="E82" t="s">
        <v>158</v>
      </c>
    </row>
    <row r="83" spans="1:5">
      <c r="A83" s="5">
        <v>45800</v>
      </c>
      <c r="B83" t="s">
        <v>24</v>
      </c>
      <c r="C83" s="2">
        <v>15.89</v>
      </c>
    </row>
    <row r="84" spans="1:5">
      <c r="A84" s="5">
        <v>45800</v>
      </c>
      <c r="B84" t="s">
        <v>14</v>
      </c>
      <c r="C84" s="2">
        <v>57.84</v>
      </c>
    </row>
    <row r="85" spans="1:5">
      <c r="A85" s="5">
        <v>45800</v>
      </c>
      <c r="B85" t="s">
        <v>27</v>
      </c>
      <c r="C85" s="2">
        <v>10.85</v>
      </c>
    </row>
    <row r="86" spans="1:5">
      <c r="D86" s="2" t="s">
        <v>43</v>
      </c>
    </row>
    <row r="87" spans="1:5">
      <c r="A87" s="5">
        <v>45802</v>
      </c>
      <c r="B87" t="s">
        <v>12</v>
      </c>
      <c r="C87" s="2">
        <v>23.3</v>
      </c>
    </row>
    <row r="88" spans="1:5">
      <c r="A88" s="5">
        <v>45802</v>
      </c>
      <c r="B88" t="s">
        <v>24</v>
      </c>
      <c r="C88" s="2">
        <v>60</v>
      </c>
      <c r="E88" t="s">
        <v>159</v>
      </c>
    </row>
    <row r="89" spans="1:5">
      <c r="A89" s="5">
        <v>45802</v>
      </c>
      <c r="B89" t="s">
        <v>16</v>
      </c>
      <c r="C89" s="2">
        <v>128.38999999999999</v>
      </c>
      <c r="E89" t="s">
        <v>160</v>
      </c>
    </row>
    <row r="90" spans="1:5">
      <c r="A90" s="5">
        <v>45802</v>
      </c>
      <c r="B90" t="s">
        <v>24</v>
      </c>
      <c r="C90" s="2">
        <v>2</v>
      </c>
      <c r="E90" t="s">
        <v>161</v>
      </c>
    </row>
    <row r="91" spans="1:5">
      <c r="A91" s="5">
        <v>45803</v>
      </c>
      <c r="B91" t="s">
        <v>10</v>
      </c>
      <c r="C91" s="2">
        <v>1</v>
      </c>
      <c r="E91" t="s">
        <v>162</v>
      </c>
    </row>
    <row r="92" spans="1:5">
      <c r="A92" s="5">
        <v>45803</v>
      </c>
      <c r="C92" s="2">
        <v>37.909999999999997</v>
      </c>
      <c r="E92" t="s">
        <v>163</v>
      </c>
    </row>
    <row r="93" spans="1:5">
      <c r="A93" s="5">
        <v>45805</v>
      </c>
      <c r="B93" t="s">
        <v>20</v>
      </c>
      <c r="C93" s="2">
        <v>9.14</v>
      </c>
    </row>
    <row r="94" spans="1:5">
      <c r="A94" s="5">
        <v>45805</v>
      </c>
      <c r="B94" t="s">
        <v>16</v>
      </c>
      <c r="C94" s="2">
        <v>34.950000000000003</v>
      </c>
      <c r="E94" t="s">
        <v>164</v>
      </c>
    </row>
    <row r="95" spans="1:5">
      <c r="A95" s="5">
        <v>45805</v>
      </c>
      <c r="C95" s="2">
        <v>21.58</v>
      </c>
      <c r="E95" t="s">
        <v>163</v>
      </c>
    </row>
    <row r="96" spans="1:5">
      <c r="A96" s="5">
        <v>45804</v>
      </c>
      <c r="B96" t="s">
        <v>10</v>
      </c>
      <c r="C96" s="2">
        <v>10</v>
      </c>
      <c r="E96" t="s">
        <v>165</v>
      </c>
    </row>
  </sheetData>
  <dataValidations count="2">
    <dataValidation type="list" allowBlank="1" showInputMessage="1" showErrorMessage="1" sqref="B27:B1048576" xr:uid="{8725924C-23CB-498F-B2B8-981516AB0F3A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  <dataValidation type="list" allowBlank="1" showInputMessage="1" showErrorMessage="1" sqref="D29:D1048576 D27" xr:uid="{1DB53208-185E-40AA-93E8-66EEBD8C315E}">
      <formula1>"Chase, SchoolsFirst"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C2FE-0F67-40DA-842C-ED969946D895}">
  <dimension ref="A1:J75"/>
  <sheetViews>
    <sheetView topLeftCell="A25" workbookViewId="0">
      <selection activeCell="A77" sqref="A77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2218.11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6288.2199999999993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2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46.019999999999996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0</v>
      </c>
      <c r="G10" s="2"/>
      <c r="H10" s="12" t="s">
        <v>12</v>
      </c>
      <c r="I10" s="13">
        <v>50</v>
      </c>
      <c r="J10" s="13">
        <f>SUMIF($B$27:$B$1048576,"Dining Out",$C$27:$C$1048576)</f>
        <v>38.75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0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0</v>
      </c>
      <c r="G12" s="2"/>
      <c r="H12" s="12" t="s">
        <v>16</v>
      </c>
      <c r="I12" s="13">
        <v>500</v>
      </c>
      <c r="J12" s="13">
        <f>SUMIF($B$27:$B$1048576,"Emergency Savings",$C$27:$C$1048576)</f>
        <v>0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682.1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83.34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411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209.51999999999998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588.82000000000005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0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196.56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4022.22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A27" s="5">
        <v>45810</v>
      </c>
      <c r="B27" t="s">
        <v>24</v>
      </c>
      <c r="C27" s="2">
        <v>105.3</v>
      </c>
      <c r="D27" s="2" t="s">
        <v>47</v>
      </c>
      <c r="E27" t="s">
        <v>166</v>
      </c>
      <c r="F27" t="s">
        <v>38</v>
      </c>
    </row>
    <row r="28" spans="1:10">
      <c r="A28" s="5">
        <v>45811</v>
      </c>
      <c r="B28" t="s">
        <v>21</v>
      </c>
      <c r="C28" s="2">
        <v>111.02</v>
      </c>
      <c r="G28" s="2"/>
    </row>
    <row r="29" spans="1:10" ht="24.75">
      <c r="A29" s="5">
        <v>45811</v>
      </c>
      <c r="B29" t="s">
        <v>27</v>
      </c>
      <c r="C29" s="2">
        <v>39.590000000000003</v>
      </c>
      <c r="F29" s="6" t="s">
        <v>39</v>
      </c>
      <c r="G29" s="7">
        <f>SUM(E8,E14,I9,I18,I21,I14,I11,I10)</f>
        <v>1468.1</v>
      </c>
    </row>
    <row r="30" spans="1:10">
      <c r="A30" s="5">
        <v>45811</v>
      </c>
      <c r="B30" t="s">
        <v>24</v>
      </c>
      <c r="C30" s="2">
        <v>47.1</v>
      </c>
      <c r="E30" t="s">
        <v>167</v>
      </c>
      <c r="F30" t="s">
        <v>40</v>
      </c>
    </row>
    <row r="31" spans="1:10">
      <c r="A31" s="5">
        <v>45811</v>
      </c>
      <c r="B31" t="s">
        <v>24</v>
      </c>
      <c r="C31" s="2">
        <v>35.450000000000003</v>
      </c>
      <c r="E31" t="s">
        <v>168</v>
      </c>
    </row>
    <row r="32" spans="1:10">
      <c r="A32" s="5">
        <v>45811</v>
      </c>
      <c r="B32" t="s">
        <v>20</v>
      </c>
      <c r="C32" s="2">
        <v>40.700000000000003</v>
      </c>
    </row>
    <row r="33" spans="1:7" ht="24.75">
      <c r="A33" s="5">
        <v>45811</v>
      </c>
      <c r="B33" t="s">
        <v>23</v>
      </c>
      <c r="C33" s="2">
        <v>60</v>
      </c>
      <c r="E33" t="s">
        <v>169</v>
      </c>
      <c r="F33" s="6" t="s">
        <v>41</v>
      </c>
      <c r="G33" s="7">
        <f>SUM(E10,I8,I12,I13,I17,I19,I20)</f>
        <v>1265</v>
      </c>
    </row>
    <row r="34" spans="1:7">
      <c r="A34" s="5">
        <v>45811</v>
      </c>
      <c r="B34" t="s">
        <v>21</v>
      </c>
      <c r="C34" s="2">
        <v>66.56</v>
      </c>
      <c r="F34" t="s">
        <v>42</v>
      </c>
    </row>
    <row r="35" spans="1:7">
      <c r="A35" s="5">
        <v>45811</v>
      </c>
      <c r="B35" t="s">
        <v>21</v>
      </c>
      <c r="C35" s="2">
        <v>4.33</v>
      </c>
    </row>
    <row r="36" spans="1:7">
      <c r="A36" s="5">
        <v>45814</v>
      </c>
      <c r="B36" t="s">
        <v>24</v>
      </c>
      <c r="C36" s="2">
        <v>20.57</v>
      </c>
      <c r="E36" t="s">
        <v>167</v>
      </c>
      <c r="F36" s="23"/>
    </row>
    <row r="37" spans="1:7">
      <c r="A37" s="5">
        <v>45814</v>
      </c>
      <c r="B37" t="s">
        <v>24</v>
      </c>
      <c r="C37" s="2">
        <v>66.650000000000006</v>
      </c>
      <c r="E37" t="s">
        <v>170</v>
      </c>
    </row>
    <row r="38" spans="1:7">
      <c r="A38" s="5">
        <v>45815</v>
      </c>
      <c r="B38" t="s">
        <v>27</v>
      </c>
      <c r="C38" s="2">
        <v>6.44</v>
      </c>
    </row>
    <row r="39" spans="1:7">
      <c r="A39" s="5">
        <v>45815</v>
      </c>
      <c r="B39" t="s">
        <v>21</v>
      </c>
      <c r="C39" s="2">
        <v>24.23</v>
      </c>
    </row>
    <row r="40" spans="1:7">
      <c r="A40" s="5">
        <v>45816</v>
      </c>
      <c r="B40" t="s">
        <v>23</v>
      </c>
      <c r="C40" s="2">
        <v>26.85</v>
      </c>
      <c r="E40" t="s">
        <v>171</v>
      </c>
    </row>
    <row r="41" spans="1:7">
      <c r="D41" s="2" t="s">
        <v>43</v>
      </c>
    </row>
    <row r="42" spans="1:7">
      <c r="A42" s="5">
        <v>45809</v>
      </c>
      <c r="B42" t="s">
        <v>23</v>
      </c>
      <c r="C42" s="2">
        <v>19.28</v>
      </c>
      <c r="E42" t="s">
        <v>172</v>
      </c>
    </row>
    <row r="43" spans="1:7">
      <c r="A43" s="5">
        <v>45809</v>
      </c>
      <c r="B43" t="s">
        <v>23</v>
      </c>
      <c r="C43" s="2">
        <v>38</v>
      </c>
      <c r="E43" t="s">
        <v>173</v>
      </c>
    </row>
    <row r="44" spans="1:7">
      <c r="A44" s="5">
        <v>45809</v>
      </c>
      <c r="B44" t="s">
        <v>21</v>
      </c>
      <c r="C44" s="2">
        <v>33.19</v>
      </c>
    </row>
    <row r="45" spans="1:7">
      <c r="A45" s="5">
        <v>45809</v>
      </c>
      <c r="B45" t="s">
        <v>10</v>
      </c>
      <c r="C45" s="2">
        <v>15.7</v>
      </c>
    </row>
    <row r="46" spans="1:7">
      <c r="A46" s="5">
        <v>45809</v>
      </c>
      <c r="B46" t="s">
        <v>27</v>
      </c>
      <c r="C46" s="2">
        <v>21.48</v>
      </c>
    </row>
    <row r="47" spans="1:7">
      <c r="A47" s="5">
        <v>45809</v>
      </c>
      <c r="B47" t="s">
        <v>12</v>
      </c>
      <c r="C47" s="2">
        <v>38.75</v>
      </c>
    </row>
    <row r="48" spans="1:7">
      <c r="A48" s="5">
        <v>45813</v>
      </c>
      <c r="B48" t="s">
        <v>27</v>
      </c>
      <c r="C48" s="2">
        <v>3.12</v>
      </c>
    </row>
    <row r="49" spans="1:5">
      <c r="A49" s="5">
        <v>45813</v>
      </c>
      <c r="B49" t="s">
        <v>27</v>
      </c>
      <c r="C49" s="2">
        <v>9.35</v>
      </c>
    </row>
    <row r="50" spans="1:5">
      <c r="A50" s="5">
        <v>45814</v>
      </c>
      <c r="B50" t="s">
        <v>27</v>
      </c>
      <c r="C50" s="2">
        <v>22.74</v>
      </c>
      <c r="E50" t="s">
        <v>174</v>
      </c>
    </row>
    <row r="51" spans="1:5">
      <c r="A51" s="5">
        <v>45815</v>
      </c>
      <c r="B51" t="s">
        <v>27</v>
      </c>
      <c r="C51" s="2">
        <v>31.48</v>
      </c>
      <c r="E51" t="s">
        <v>175</v>
      </c>
    </row>
    <row r="52" spans="1:5">
      <c r="A52" s="5">
        <v>45815</v>
      </c>
      <c r="B52" t="s">
        <v>27</v>
      </c>
      <c r="C52" s="2">
        <v>29.27</v>
      </c>
    </row>
    <row r="53" spans="1:5">
      <c r="A53" s="5">
        <v>45816</v>
      </c>
      <c r="B53" t="s">
        <v>23</v>
      </c>
      <c r="C53" s="2">
        <v>21.1</v>
      </c>
      <c r="E53" t="s">
        <v>172</v>
      </c>
    </row>
    <row r="54" spans="1:5">
      <c r="A54" s="5">
        <v>45816</v>
      </c>
      <c r="B54" t="s">
        <v>23</v>
      </c>
      <c r="C54" s="2">
        <v>20.96</v>
      </c>
      <c r="E54" t="s">
        <v>172</v>
      </c>
    </row>
    <row r="55" spans="1:5">
      <c r="A55" s="5">
        <v>45816</v>
      </c>
      <c r="B55" t="s">
        <v>23</v>
      </c>
      <c r="C55" s="2">
        <v>23.33</v>
      </c>
      <c r="E55" t="s">
        <v>172</v>
      </c>
    </row>
    <row r="56" spans="1:5">
      <c r="D56" s="2" t="s">
        <v>47</v>
      </c>
    </row>
    <row r="57" spans="1:5">
      <c r="A57" s="5">
        <v>45817</v>
      </c>
      <c r="B57" t="s">
        <v>27</v>
      </c>
      <c r="C57" s="2">
        <v>24.99</v>
      </c>
    </row>
    <row r="58" spans="1:5">
      <c r="A58" s="5">
        <v>45817</v>
      </c>
      <c r="B58" t="s">
        <v>27</v>
      </c>
      <c r="C58" s="2">
        <v>7.04</v>
      </c>
    </row>
    <row r="59" spans="1:5">
      <c r="A59" s="5">
        <v>45818</v>
      </c>
      <c r="B59" t="s">
        <v>24</v>
      </c>
      <c r="C59" s="2">
        <v>157.52000000000001</v>
      </c>
      <c r="E59" t="s">
        <v>170</v>
      </c>
    </row>
    <row r="60" spans="1:5">
      <c r="A60" s="5">
        <v>45818</v>
      </c>
      <c r="B60" t="s">
        <v>21</v>
      </c>
      <c r="C60" s="2">
        <v>5.04</v>
      </c>
    </row>
    <row r="61" spans="1:5">
      <c r="A61" s="5">
        <v>45819</v>
      </c>
      <c r="B61" t="s">
        <v>24</v>
      </c>
      <c r="C61" s="2">
        <v>96.49</v>
      </c>
      <c r="E61" t="s">
        <v>176</v>
      </c>
    </row>
    <row r="62" spans="1:5">
      <c r="A62" s="5">
        <v>45820</v>
      </c>
      <c r="B62" t="s">
        <v>8</v>
      </c>
      <c r="C62" s="2">
        <v>2</v>
      </c>
    </row>
    <row r="63" spans="1:5">
      <c r="A63" s="5">
        <v>45820</v>
      </c>
      <c r="B63" t="s">
        <v>27</v>
      </c>
      <c r="C63" s="2">
        <v>1.06</v>
      </c>
      <c r="E63" s="15"/>
    </row>
    <row r="64" spans="1:5">
      <c r="A64" s="5">
        <v>45821</v>
      </c>
      <c r="B64" t="s">
        <v>20</v>
      </c>
      <c r="C64" s="2">
        <v>42.64</v>
      </c>
    </row>
    <row r="65" spans="1:5">
      <c r="A65" s="5">
        <v>45821</v>
      </c>
      <c r="B65" t="s">
        <v>21</v>
      </c>
      <c r="C65" s="2">
        <v>72.260000000000005</v>
      </c>
      <c r="E65" s="15"/>
    </row>
    <row r="66" spans="1:5">
      <c r="A66" s="5">
        <v>45821</v>
      </c>
      <c r="B66" t="s">
        <v>21</v>
      </c>
      <c r="C66" s="2">
        <v>-16.46</v>
      </c>
      <c r="E66" t="s">
        <v>177</v>
      </c>
    </row>
    <row r="67" spans="1:5">
      <c r="A67" s="5">
        <v>45822</v>
      </c>
      <c r="B67" t="s">
        <v>21</v>
      </c>
      <c r="C67" s="2">
        <v>-16.43</v>
      </c>
      <c r="E67" t="s">
        <v>177</v>
      </c>
    </row>
    <row r="68" spans="1:5">
      <c r="A68" s="5">
        <v>45822</v>
      </c>
      <c r="B68" t="s">
        <v>21</v>
      </c>
      <c r="C68" s="2">
        <v>30</v>
      </c>
    </row>
    <row r="69" spans="1:5">
      <c r="A69" s="5">
        <v>45822</v>
      </c>
      <c r="B69" t="s">
        <v>10</v>
      </c>
      <c r="C69" s="2">
        <v>22.74</v>
      </c>
    </row>
    <row r="70" spans="1:5">
      <c r="A70" s="5">
        <v>45822</v>
      </c>
      <c r="B70" t="s">
        <v>10</v>
      </c>
      <c r="C70" s="2">
        <v>7.58</v>
      </c>
    </row>
    <row r="71" spans="1:5">
      <c r="A71" s="5">
        <v>45822</v>
      </c>
      <c r="B71" t="s">
        <v>21</v>
      </c>
      <c r="C71" s="2">
        <v>63.75</v>
      </c>
    </row>
    <row r="72" spans="1:5">
      <c r="A72" s="5">
        <v>45823</v>
      </c>
      <c r="B72" t="s">
        <v>21</v>
      </c>
      <c r="C72" s="2">
        <v>3.24</v>
      </c>
    </row>
    <row r="73" spans="1:5">
      <c r="A73" s="5">
        <v>45823</v>
      </c>
      <c r="B73" t="s">
        <v>24</v>
      </c>
      <c r="C73" s="2">
        <v>59.74</v>
      </c>
      <c r="E73" s="15"/>
    </row>
    <row r="74" spans="1:5">
      <c r="A74" s="5">
        <v>45823</v>
      </c>
      <c r="B74" t="s">
        <v>21</v>
      </c>
      <c r="C74" s="2">
        <v>30.27</v>
      </c>
    </row>
    <row r="75" spans="1:5">
      <c r="A75" s="5">
        <v>45826</v>
      </c>
    </row>
  </sheetData>
  <dataValidations count="2">
    <dataValidation type="list" allowBlank="1" showInputMessage="1" showErrorMessage="1" sqref="D29:D1048576 D27" xr:uid="{F063AB5D-718E-4BC1-9BB2-1C420D3E1450}">
      <formula1>"Chase, SchoolsFirst"</formula1>
    </dataValidation>
    <dataValidation type="list" allowBlank="1" showInputMessage="1" showErrorMessage="1" sqref="B27:B1048576" xr:uid="{CB566072-62EA-46E8-8D58-23F8D464B0DF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1444-CC51-471F-80FF-E5B63226DBA7}">
  <dimension ref="A1:J73"/>
  <sheetViews>
    <sheetView topLeftCell="A3" workbookViewId="0">
      <selection activeCell="G26" sqref="G26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SUM(F8:F14,J8:J21)</f>
        <v>1794.1299999999999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SUM(E8:E14,I8:I21)</f>
        <v>6288.2199999999993</v>
      </c>
      <c r="C8"/>
      <c r="D8" s="10" t="s">
        <v>7</v>
      </c>
      <c r="E8" s="11">
        <v>200</v>
      </c>
      <c r="F8" s="11">
        <f>SUMIF($B$27:$B$1048576,"Bridge",$C$27:$C$1048576)</f>
        <v>0</v>
      </c>
      <c r="G8" s="2"/>
      <c r="H8" s="12" t="s">
        <v>8</v>
      </c>
      <c r="I8" s="13">
        <v>40</v>
      </c>
      <c r="J8" s="13">
        <f>SUMIF($B$27:$B$1048576,"Car Upkeep",$C$27:$C$1048576)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SUMIF($B$27:$B$1048576,"Bronco payment",$C$27:$C$1048576)</f>
        <v>0</v>
      </c>
      <c r="G9" s="2"/>
      <c r="H9" s="12" t="s">
        <v>10</v>
      </c>
      <c r="I9" s="13">
        <v>50</v>
      </c>
      <c r="J9" s="13">
        <f>SUMIF($B$27:$B$1048576,"Date/Fun Money",$C$27:$C$1048576)</f>
        <v>0</v>
      </c>
    </row>
    <row r="10" spans="1:10">
      <c r="A10"/>
      <c r="C10"/>
      <c r="D10" s="10" t="s">
        <v>11</v>
      </c>
      <c r="E10" s="11">
        <v>35</v>
      </c>
      <c r="F10" s="11">
        <f>SUMIF($B$27:$B$1048576,"Car Wash",$C$27:$C$1048576)</f>
        <v>0</v>
      </c>
      <c r="G10" s="2"/>
      <c r="H10" s="12" t="s">
        <v>12</v>
      </c>
      <c r="I10" s="13">
        <v>50</v>
      </c>
      <c r="J10" s="13">
        <f>SUMIF($B$27:$B$1048576,"Dining Out",$C$27:$C$1048576)</f>
        <v>14.99</v>
      </c>
    </row>
    <row r="11" spans="1:10">
      <c r="A11"/>
      <c r="C11"/>
      <c r="D11" s="10" t="s">
        <v>36</v>
      </c>
      <c r="E11" s="11">
        <v>2517.69</v>
      </c>
      <c r="F11" s="11">
        <f>SUMIF($B$27:$B$1048576,"Mortgage",$C$27:$C$1048576)</f>
        <v>0</v>
      </c>
      <c r="G11" s="2"/>
      <c r="H11" s="12" t="s">
        <v>14</v>
      </c>
      <c r="I11" s="13">
        <v>50</v>
      </c>
      <c r="J11" s="13">
        <f>SUMIF($B$27:$B$1048576,"Dogs",$C$27:$C$1048576)</f>
        <v>50</v>
      </c>
    </row>
    <row r="12" spans="1:10">
      <c r="A12"/>
      <c r="C12"/>
      <c r="D12" s="10" t="s">
        <v>15</v>
      </c>
      <c r="E12" s="11">
        <v>200</v>
      </c>
      <c r="F12" s="11">
        <f>SUMIF($B$27:$B$1048576,"Utilities",$C$27:$C$1048576)</f>
        <v>0</v>
      </c>
      <c r="G12" s="2"/>
      <c r="H12" s="12" t="s">
        <v>16</v>
      </c>
      <c r="I12" s="13">
        <v>500</v>
      </c>
      <c r="J12" s="13">
        <f>SUMIF($B$27:$B$1048576,"Emergency Savings",$C$27:$C$1048576)</f>
        <v>0</v>
      </c>
    </row>
    <row r="13" spans="1:10">
      <c r="A13"/>
      <c r="C13"/>
      <c r="D13" s="10" t="s">
        <v>17</v>
      </c>
      <c r="E13" s="11">
        <v>75</v>
      </c>
      <c r="F13" s="11">
        <f>SUMIF($B$27:$B$1048576,"Wifi",$C$27:$C$1048576)</f>
        <v>0</v>
      </c>
      <c r="G13" s="2"/>
      <c r="H13" s="12" t="s">
        <v>18</v>
      </c>
      <c r="I13" s="13">
        <v>320</v>
      </c>
      <c r="J13" s="13">
        <f>SUMIF($B$27:$B$1048576,"Extra Car Payment",$C$27:$C$1048576)</f>
        <v>0</v>
      </c>
    </row>
    <row r="14" spans="1:10">
      <c r="A14"/>
      <c r="C14"/>
      <c r="D14" s="10" t="s">
        <v>19</v>
      </c>
      <c r="E14" s="11">
        <v>682.1</v>
      </c>
      <c r="F14" s="11">
        <v>642.1</v>
      </c>
      <c r="G14" s="2"/>
      <c r="H14" s="12" t="s">
        <v>20</v>
      </c>
      <c r="I14" s="13">
        <v>200</v>
      </c>
      <c r="J14" s="13">
        <f>SUMIF($B$27:$B$1048576,"Gas",$C$27:$C$1048576)</f>
        <v>84.17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SUMIF($B$27:$B$1048576,"Groceries",$C$27:$C$1048576)</f>
        <v>420.11</v>
      </c>
    </row>
    <row r="16" spans="1:10">
      <c r="A16"/>
      <c r="C16"/>
      <c r="D16"/>
      <c r="H16" s="12" t="s">
        <v>22</v>
      </c>
      <c r="I16" s="13">
        <v>0</v>
      </c>
      <c r="J16" s="13">
        <f>SUMIF($B$27:$B$1048576,"House Repayment",$C$27:$C$1048576)</f>
        <v>0</v>
      </c>
    </row>
    <row r="17" spans="1:10">
      <c r="A17"/>
      <c r="C17"/>
      <c r="D17"/>
      <c r="H17" s="12" t="s">
        <v>23</v>
      </c>
      <c r="I17" s="13">
        <v>20</v>
      </c>
      <c r="J17" s="13">
        <f>SUMIF($B$27:$B$1048576,"Household Items",$C$27:$C$1048576)</f>
        <v>54.760000000000005</v>
      </c>
    </row>
    <row r="18" spans="1:10">
      <c r="A18"/>
      <c r="C18"/>
      <c r="D18"/>
      <c r="H18" s="12" t="s">
        <v>24</v>
      </c>
      <c r="I18" s="13">
        <v>100</v>
      </c>
      <c r="J18" s="13">
        <f>SUMIF($B$27:$B$1048576,"Shopping",$C$27:$C$1048576)</f>
        <v>492.95</v>
      </c>
    </row>
    <row r="19" spans="1:10">
      <c r="A19"/>
      <c r="C19"/>
      <c r="D19"/>
      <c r="H19" s="12" t="s">
        <v>25</v>
      </c>
      <c r="I19" s="13">
        <v>250</v>
      </c>
      <c r="J19" s="13">
        <f>SUMIF($B$27:$B$1048576,"Student Loans",$C$27:$C$1048576)</f>
        <v>0</v>
      </c>
    </row>
    <row r="20" spans="1:10">
      <c r="A20"/>
      <c r="C20"/>
      <c r="D20"/>
      <c r="H20" s="12" t="s">
        <v>26</v>
      </c>
      <c r="I20" s="13">
        <v>100</v>
      </c>
      <c r="J20" s="13">
        <f>SUMIF($B$27:$B$1048576,"Travel",$C$27:$C$1048576)</f>
        <v>0</v>
      </c>
    </row>
    <row r="21" spans="1:10">
      <c r="A21"/>
      <c r="C21"/>
      <c r="D21"/>
      <c r="H21" s="12" t="s">
        <v>27</v>
      </c>
      <c r="I21" s="13">
        <v>136</v>
      </c>
      <c r="J21" s="13">
        <f>SUMIF($B$27:$B$1048576,"Variables",$C$27:$C$1048576)</f>
        <v>35.050000000000004</v>
      </c>
    </row>
    <row r="22" spans="1:10">
      <c r="A22"/>
      <c r="C22"/>
      <c r="D22"/>
    </row>
    <row r="23" spans="1:10" ht="24.75">
      <c r="A23"/>
      <c r="C23"/>
      <c r="D23" s="6" t="s">
        <v>28</v>
      </c>
      <c r="E23" s="7">
        <f>SUM(E8:E14)</f>
        <v>4022.22</v>
      </c>
      <c r="F23" s="2"/>
      <c r="G23" s="2"/>
      <c r="H23" s="6" t="s">
        <v>29</v>
      </c>
      <c r="I23" s="7">
        <f>SUM(I8:I21)</f>
        <v>2266</v>
      </c>
    </row>
    <row r="24" spans="1:10" ht="24.75">
      <c r="A24" s="14" t="s">
        <v>30</v>
      </c>
      <c r="C24"/>
      <c r="D24"/>
    </row>
    <row r="25" spans="1:10">
      <c r="A25"/>
      <c r="C25"/>
      <c r="D25"/>
    </row>
    <row r="26" spans="1:10" ht="24.75">
      <c r="A26" s="8" t="s">
        <v>31</v>
      </c>
      <c r="B26" s="8" t="s">
        <v>32</v>
      </c>
      <c r="C26" s="8" t="s">
        <v>33</v>
      </c>
      <c r="D26"/>
      <c r="F26" s="6" t="s">
        <v>37</v>
      </c>
      <c r="G26" s="7">
        <f>SUM(E11,E12,E13,E9,I15)</f>
        <v>3555.12</v>
      </c>
    </row>
    <row r="27" spans="1:10">
      <c r="B27" t="s">
        <v>20</v>
      </c>
      <c r="C27" s="2">
        <v>37.57</v>
      </c>
      <c r="D27" s="2" t="s">
        <v>47</v>
      </c>
      <c r="F27" t="s">
        <v>38</v>
      </c>
    </row>
    <row r="28" spans="1:10">
      <c r="B28" t="s">
        <v>23</v>
      </c>
      <c r="C28" s="2">
        <v>10.73</v>
      </c>
      <c r="G28" s="2"/>
    </row>
    <row r="29" spans="1:10" ht="24.75">
      <c r="C29" s="2">
        <v>35.9</v>
      </c>
      <c r="E29" t="s">
        <v>178</v>
      </c>
      <c r="F29" s="6" t="s">
        <v>39</v>
      </c>
      <c r="G29" s="7">
        <f>SUM(E8,E14,I9,I18,I21,I14,I11,I10)</f>
        <v>1468.1</v>
      </c>
    </row>
    <row r="30" spans="1:10">
      <c r="B30" t="s">
        <v>12</v>
      </c>
      <c r="C30" s="2">
        <v>10.66</v>
      </c>
      <c r="F30" t="s">
        <v>40</v>
      </c>
    </row>
    <row r="31" spans="1:10">
      <c r="B31" t="s">
        <v>27</v>
      </c>
      <c r="C31" s="2">
        <v>6.44</v>
      </c>
    </row>
    <row r="32" spans="1:10">
      <c r="B32" t="s">
        <v>21</v>
      </c>
      <c r="C32" s="2">
        <v>172.87</v>
      </c>
    </row>
    <row r="33" spans="2:7" ht="24.75">
      <c r="B33" t="s">
        <v>21</v>
      </c>
      <c r="C33" s="2">
        <v>23.74</v>
      </c>
      <c r="F33" s="6" t="s">
        <v>41</v>
      </c>
      <c r="G33" s="7">
        <f>SUM(E10,I8,I12,I13,I17,I19,I20)</f>
        <v>1265</v>
      </c>
    </row>
    <row r="34" spans="2:7">
      <c r="B34" t="s">
        <v>27</v>
      </c>
      <c r="C34" s="2">
        <v>24.99</v>
      </c>
      <c r="F34" t="s">
        <v>42</v>
      </c>
    </row>
    <row r="35" spans="2:7">
      <c r="B35" t="s">
        <v>21</v>
      </c>
      <c r="C35" s="2">
        <v>57</v>
      </c>
    </row>
    <row r="36" spans="2:7">
      <c r="B36" t="s">
        <v>21</v>
      </c>
      <c r="C36" s="2">
        <v>112</v>
      </c>
      <c r="F36" s="23"/>
    </row>
    <row r="37" spans="2:7">
      <c r="B37" t="s">
        <v>14</v>
      </c>
      <c r="C37" s="2">
        <v>50</v>
      </c>
    </row>
    <row r="38" spans="2:7">
      <c r="B38" t="s">
        <v>24</v>
      </c>
      <c r="C38" s="2">
        <v>32.22</v>
      </c>
    </row>
    <row r="39" spans="2:7">
      <c r="B39" t="s">
        <v>23</v>
      </c>
      <c r="C39" s="2">
        <v>32.22</v>
      </c>
    </row>
    <row r="40" spans="2:7">
      <c r="B40" t="s">
        <v>21</v>
      </c>
      <c r="C40" s="2">
        <v>17.489999999999998</v>
      </c>
    </row>
    <row r="41" spans="2:7">
      <c r="B41" t="s">
        <v>24</v>
      </c>
      <c r="C41" s="2">
        <v>51.57</v>
      </c>
      <c r="E41" t="s">
        <v>179</v>
      </c>
    </row>
    <row r="42" spans="2:7">
      <c r="B42" t="s">
        <v>24</v>
      </c>
      <c r="C42" s="2">
        <v>51.52</v>
      </c>
      <c r="E42" t="s">
        <v>179</v>
      </c>
    </row>
    <row r="43" spans="2:7">
      <c r="B43" t="s">
        <v>23</v>
      </c>
      <c r="C43" s="2">
        <v>11.81</v>
      </c>
    </row>
    <row r="44" spans="2:7">
      <c r="B44" t="s">
        <v>21</v>
      </c>
      <c r="C44" s="2">
        <v>37.01</v>
      </c>
    </row>
    <row r="45" spans="2:7">
      <c r="B45" t="s">
        <v>24</v>
      </c>
      <c r="C45" s="2">
        <v>234.44</v>
      </c>
      <c r="E45" t="s">
        <v>180</v>
      </c>
    </row>
    <row r="46" spans="2:7">
      <c r="B46" t="s">
        <v>12</v>
      </c>
      <c r="C46" s="2">
        <v>4.33</v>
      </c>
    </row>
    <row r="47" spans="2:7">
      <c r="B47" t="s">
        <v>27</v>
      </c>
      <c r="C47" s="2">
        <v>1.06</v>
      </c>
    </row>
    <row r="48" spans="2:7">
      <c r="B48" t="s">
        <v>27</v>
      </c>
      <c r="C48" s="2">
        <v>2.56</v>
      </c>
    </row>
    <row r="49" spans="2:5">
      <c r="B49" t="s">
        <v>24</v>
      </c>
      <c r="C49" s="2">
        <v>123.2</v>
      </c>
      <c r="E49" t="s">
        <v>181</v>
      </c>
    </row>
    <row r="50" spans="2:5">
      <c r="B50" t="s">
        <v>20</v>
      </c>
      <c r="C50" s="2">
        <v>46.6</v>
      </c>
    </row>
    <row r="51" spans="2:5">
      <c r="D51" s="2" t="s">
        <v>43</v>
      </c>
    </row>
    <row r="63" spans="2:5">
      <c r="E63" s="15"/>
    </row>
    <row r="65" spans="5:5">
      <c r="E65" s="15"/>
    </row>
    <row r="73" spans="5:5">
      <c r="E73" s="15"/>
    </row>
  </sheetData>
  <dataValidations count="2">
    <dataValidation type="list" allowBlank="1" showInputMessage="1" showErrorMessage="1" sqref="B27:B1048576" xr:uid="{301E3D49-1772-46BB-85CA-A4D5130E1093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  <dataValidation type="list" allowBlank="1" showInputMessage="1" showErrorMessage="1" sqref="D29:D1048576 D27" xr:uid="{4AEB3090-9321-45D9-B84E-404D9DBC7200}">
      <formula1>"Chase, SchoolsFirst"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A23A-FD46-4967-A30E-50CFB5C8BCCC}">
  <dimension ref="A1:K75"/>
  <sheetViews>
    <sheetView workbookViewId="0">
      <selection activeCell="C50" sqref="C50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B2" s="25">
        <f>SUM(H28,H31,H35)</f>
        <v>7862.58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SUM(F8:F14,J8:J22)</f>
        <v>1530.1480000000001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SUM(E8:E14,I8:I23)</f>
        <v>7812.3779999999997</v>
      </c>
      <c r="C8"/>
      <c r="D8" s="10" t="s">
        <v>7</v>
      </c>
      <c r="E8" s="11">
        <v>200</v>
      </c>
      <c r="F8" s="11">
        <f>SUMIF($B$29:$B$1048576,"Bridge",$C$29:$C$1048576)</f>
        <v>0</v>
      </c>
      <c r="G8" s="2"/>
      <c r="H8" s="12" t="s">
        <v>8</v>
      </c>
      <c r="I8" s="13">
        <v>40</v>
      </c>
      <c r="J8" s="13">
        <f>SUMIF($B$29:$B$1048576,"Car Upkeep",$C$29:$C$1048576)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SUMIF($B$29:$B$1048576,"Bronco payment",$C$29:$C$1048576)</f>
        <v>0</v>
      </c>
      <c r="G9" s="2"/>
      <c r="H9" s="12" t="s">
        <v>10</v>
      </c>
      <c r="I9" s="13">
        <v>100</v>
      </c>
      <c r="J9" s="13">
        <f>SUMIF($B$29:$B$1048576,"Date/Fun Money",$C$29:$C$1048576)</f>
        <v>0</v>
      </c>
    </row>
    <row r="10" spans="1:10">
      <c r="A10"/>
      <c r="C10"/>
      <c r="D10" s="10" t="s">
        <v>11</v>
      </c>
      <c r="E10" s="11">
        <v>35</v>
      </c>
      <c r="F10" s="11">
        <f>SUMIF($B$29:$B$1048576,"Car Wash",$C$29:$C$1048576)</f>
        <v>0</v>
      </c>
      <c r="G10" s="2"/>
      <c r="H10" s="12" t="s">
        <v>12</v>
      </c>
      <c r="I10" s="13">
        <v>50</v>
      </c>
      <c r="J10" s="13">
        <f>SUMIF($B$29:$B$1048576,"Dining Out",$C$29:$C$1048576)</f>
        <v>11.91</v>
      </c>
    </row>
    <row r="11" spans="1:10">
      <c r="A11"/>
      <c r="C11"/>
      <c r="D11" s="10" t="s">
        <v>36</v>
      </c>
      <c r="E11" s="11">
        <v>2517.69</v>
      </c>
      <c r="F11" s="11">
        <f>SUMIF($B$29:$B$1048576,"Mortgage",$C$29:$C$1048576)</f>
        <v>0</v>
      </c>
      <c r="G11" s="2"/>
      <c r="H11" s="12" t="s">
        <v>14</v>
      </c>
      <c r="I11" s="13">
        <v>75</v>
      </c>
      <c r="J11" s="13">
        <f>SUMIF($B$29:$B$1048576,"Dogs",$C$29:$C$1048576)</f>
        <v>0</v>
      </c>
    </row>
    <row r="12" spans="1:10">
      <c r="A12"/>
      <c r="C12"/>
      <c r="D12" s="10" t="s">
        <v>15</v>
      </c>
      <c r="E12" s="11">
        <v>200</v>
      </c>
      <c r="F12" s="11">
        <f>SUMIF($B$29:$B$1048576,"Utilities",$C$29:$C$1048576)</f>
        <v>0</v>
      </c>
      <c r="G12" s="2"/>
      <c r="H12" s="12" t="s">
        <v>16</v>
      </c>
      <c r="I12" s="13">
        <v>1000</v>
      </c>
      <c r="J12" s="13">
        <f>SUMIF($B$29:$B$1048576,"Emergency Savings",$C$29:$C$1048576)</f>
        <v>0</v>
      </c>
    </row>
    <row r="13" spans="1:10">
      <c r="A13"/>
      <c r="C13"/>
      <c r="D13" s="10" t="s">
        <v>17</v>
      </c>
      <c r="E13" s="11">
        <v>75</v>
      </c>
      <c r="F13" s="11">
        <f>SUMIF($B$29:$B$1048576,"Wifi",$C$29:$C$1048576)</f>
        <v>0</v>
      </c>
      <c r="G13" s="2"/>
      <c r="H13" s="12" t="s">
        <v>18</v>
      </c>
      <c r="I13" s="13">
        <v>320</v>
      </c>
      <c r="J13" s="13">
        <f>SUMIF($B$29:$B$1048576,"Extra Car Payment",$C$29:$C$1048576)</f>
        <v>0</v>
      </c>
    </row>
    <row r="14" spans="1:10">
      <c r="A14"/>
      <c r="C14"/>
      <c r="D14" s="10" t="s">
        <v>19</v>
      </c>
      <c r="E14" s="11">
        <f>B2*0.1</f>
        <v>786.25800000000004</v>
      </c>
      <c r="F14" s="11">
        <f>E14</f>
        <v>786.25800000000004</v>
      </c>
      <c r="G14" s="2"/>
      <c r="H14" s="12" t="s">
        <v>20</v>
      </c>
      <c r="I14" s="13">
        <v>200</v>
      </c>
      <c r="J14" s="13">
        <f>SUMIF($B$29:$B$1048576,"Gas",$C$29:$C$1048576)</f>
        <v>0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SUMIF($B$29:$B$1048576,"Groceries",$C$29:$C$1048576)</f>
        <v>424.79000000000008</v>
      </c>
    </row>
    <row r="16" spans="1:10">
      <c r="A16"/>
      <c r="C16"/>
      <c r="D16"/>
      <c r="H16" s="12" t="s">
        <v>22</v>
      </c>
      <c r="I16" s="13">
        <v>175</v>
      </c>
      <c r="J16" s="13">
        <f>SUMIF($B$29:$B$1048576,"House Repayment",$C$29:$C$1048576)</f>
        <v>0</v>
      </c>
    </row>
    <row r="17" spans="1:11">
      <c r="A17"/>
      <c r="C17"/>
      <c r="D17"/>
      <c r="H17" s="12" t="s">
        <v>23</v>
      </c>
      <c r="I17" s="13">
        <v>40</v>
      </c>
      <c r="J17" s="13">
        <f>SUMIF($B$29:$B$1048576,"Household Items",$C$29:$C$1048576)</f>
        <v>0</v>
      </c>
    </row>
    <row r="18" spans="1:11">
      <c r="A18"/>
      <c r="C18"/>
      <c r="D18"/>
      <c r="H18" s="12" t="s">
        <v>24</v>
      </c>
      <c r="I18" s="13">
        <v>200</v>
      </c>
      <c r="J18" s="13">
        <f>SUMIF($B$29:$B$1048576,"Shopping",$C$29:$C$1048576)</f>
        <v>85.97</v>
      </c>
    </row>
    <row r="19" spans="1:11">
      <c r="A19"/>
      <c r="C19"/>
      <c r="D19"/>
      <c r="H19" s="12" t="s">
        <v>25</v>
      </c>
      <c r="I19" s="13">
        <v>250</v>
      </c>
      <c r="J19" s="13">
        <f>SUMIF($B$29:$B$1048576,"Student Loans",$C$29:$C$1048576)</f>
        <v>68.75</v>
      </c>
    </row>
    <row r="20" spans="1:11">
      <c r="A20"/>
      <c r="C20"/>
      <c r="D20"/>
      <c r="H20" s="12" t="s">
        <v>26</v>
      </c>
      <c r="I20" s="13">
        <v>500</v>
      </c>
      <c r="J20" s="13">
        <f>SUMIF($B$29:$B$1048576,"Travel",$C$29:$C$1048576)</f>
        <v>0</v>
      </c>
    </row>
    <row r="21" spans="1:11">
      <c r="A21"/>
      <c r="C21"/>
      <c r="D21"/>
      <c r="H21" s="12" t="s">
        <v>27</v>
      </c>
      <c r="I21" s="13">
        <v>136</v>
      </c>
      <c r="J21" s="13">
        <f>SUMIF($B$29:$B$1048576,"Variables",$C$29:$C$1048576)</f>
        <v>152.46999999999997</v>
      </c>
    </row>
    <row r="22" spans="1:11">
      <c r="A22"/>
      <c r="C22"/>
      <c r="D22"/>
      <c r="H22" s="12" t="s">
        <v>182</v>
      </c>
      <c r="I22" s="13">
        <v>100</v>
      </c>
      <c r="J22" s="13">
        <f>SUMIF($B$29:$B$1048576,"Investment",$C$29:$C$1048576)</f>
        <v>0</v>
      </c>
    </row>
    <row r="23" spans="1:11">
      <c r="A23"/>
      <c r="C23"/>
      <c r="D23"/>
      <c r="H23" s="12" t="s">
        <v>183</v>
      </c>
      <c r="I23" s="13">
        <v>50</v>
      </c>
      <c r="J23" s="13">
        <f>SUMIF($B$29:$B$1048576,"Hadlee",$C$29:$C$1048576)</f>
        <v>0</v>
      </c>
    </row>
    <row r="24" spans="1:11">
      <c r="A24"/>
      <c r="C24"/>
      <c r="D24"/>
    </row>
    <row r="25" spans="1:11" ht="24.75">
      <c r="A25"/>
      <c r="C25"/>
      <c r="D25" s="6" t="s">
        <v>28</v>
      </c>
      <c r="E25" s="7">
        <f>SUM(E8:E14)</f>
        <v>4126.3779999999997</v>
      </c>
      <c r="F25" s="2"/>
      <c r="G25" s="2"/>
      <c r="H25" s="6" t="s">
        <v>29</v>
      </c>
      <c r="I25" s="7">
        <f>SUM(I8:I21)</f>
        <v>3536</v>
      </c>
    </row>
    <row r="26" spans="1:11" ht="24.75">
      <c r="A26" s="14" t="s">
        <v>30</v>
      </c>
      <c r="C26"/>
      <c r="D26"/>
    </row>
    <row r="27" spans="1:11">
      <c r="A27"/>
      <c r="C27"/>
      <c r="D27"/>
    </row>
    <row r="28" spans="1:11" ht="24.75">
      <c r="A28" s="8" t="s">
        <v>31</v>
      </c>
      <c r="B28" s="8" t="s">
        <v>32</v>
      </c>
      <c r="C28" s="8" t="s">
        <v>33</v>
      </c>
      <c r="D28"/>
      <c r="E28" s="2">
        <f>G28-H28</f>
        <v>3.1799999999998363</v>
      </c>
      <c r="F28" s="6" t="s">
        <v>37</v>
      </c>
      <c r="G28" s="7">
        <f>SUM(E9,E11,E12,E13,I15,I20,I23,-100)</f>
        <v>4005.12</v>
      </c>
      <c r="H28" s="25">
        <v>4001.94</v>
      </c>
    </row>
    <row r="29" spans="1:11">
      <c r="A29" s="5">
        <v>45870</v>
      </c>
      <c r="B29" t="s">
        <v>21</v>
      </c>
      <c r="C29" s="2">
        <v>28.28</v>
      </c>
      <c r="D29" s="2" t="s">
        <v>43</v>
      </c>
      <c r="F29" t="s">
        <v>184</v>
      </c>
    </row>
    <row r="30" spans="1:11">
      <c r="A30" s="5">
        <v>45872</v>
      </c>
      <c r="B30" t="s">
        <v>21</v>
      </c>
      <c r="C30" s="2">
        <v>26.1</v>
      </c>
      <c r="G30" s="2"/>
    </row>
    <row r="31" spans="1:11" ht="24.75">
      <c r="A31" s="5">
        <v>45872</v>
      </c>
      <c r="B31" t="s">
        <v>21</v>
      </c>
      <c r="C31" s="2">
        <v>16</v>
      </c>
      <c r="E31" s="2">
        <f>G31-H31</f>
        <v>-8.0619999999998981</v>
      </c>
      <c r="F31" s="6" t="s">
        <v>39</v>
      </c>
      <c r="G31" s="7">
        <f>SUM(E8,E14,I9,I10,I11,I14,I18,I21,I16)</f>
        <v>1922.258</v>
      </c>
      <c r="H31">
        <v>1930.32</v>
      </c>
      <c r="I31" s="2"/>
      <c r="K31" s="2"/>
    </row>
    <row r="32" spans="1:11">
      <c r="A32" s="5">
        <v>45873</v>
      </c>
      <c r="B32" t="s">
        <v>21</v>
      </c>
      <c r="C32" s="2">
        <v>72.8</v>
      </c>
      <c r="F32" t="s">
        <v>185</v>
      </c>
    </row>
    <row r="33" spans="1:9">
      <c r="A33" s="5">
        <v>45876</v>
      </c>
      <c r="B33" t="s">
        <v>27</v>
      </c>
      <c r="C33" s="2">
        <v>7.99</v>
      </c>
    </row>
    <row r="34" spans="1:9">
      <c r="A34" s="5">
        <v>45879</v>
      </c>
      <c r="B34" t="s">
        <v>12</v>
      </c>
      <c r="C34" s="2">
        <v>11.91</v>
      </c>
    </row>
    <row r="35" spans="1:9" ht="24.75">
      <c r="A35" s="5">
        <v>45872</v>
      </c>
      <c r="B35" t="s">
        <v>27</v>
      </c>
      <c r="C35" s="2">
        <v>88.08</v>
      </c>
      <c r="D35" s="2" t="s">
        <v>47</v>
      </c>
      <c r="E35" s="2">
        <f>G35-H35</f>
        <v>-45.319999999999936</v>
      </c>
      <c r="F35" s="6" t="s">
        <v>41</v>
      </c>
      <c r="G35" s="7">
        <f>SUM(E10,I8,I12,I13,I17,I19,I22,100)</f>
        <v>1885</v>
      </c>
      <c r="H35">
        <v>1930.32</v>
      </c>
    </row>
    <row r="36" spans="1:9">
      <c r="A36" s="5">
        <v>45873</v>
      </c>
      <c r="B36" t="s">
        <v>21</v>
      </c>
      <c r="C36" s="2">
        <v>14.37</v>
      </c>
      <c r="F36" t="s">
        <v>186</v>
      </c>
    </row>
    <row r="37" spans="1:9">
      <c r="A37" s="5">
        <v>45874</v>
      </c>
      <c r="B37" t="s">
        <v>27</v>
      </c>
      <c r="C37" s="2">
        <v>17.7</v>
      </c>
      <c r="I37" s="2"/>
    </row>
    <row r="38" spans="1:9">
      <c r="A38" s="5">
        <v>45876</v>
      </c>
      <c r="B38" t="s">
        <v>27</v>
      </c>
      <c r="C38" s="2">
        <v>6.44</v>
      </c>
      <c r="F38" s="23"/>
    </row>
    <row r="39" spans="1:9">
      <c r="A39" s="5">
        <v>45876</v>
      </c>
      <c r="B39" t="s">
        <v>27</v>
      </c>
      <c r="C39" s="2">
        <v>6.38</v>
      </c>
    </row>
    <row r="40" spans="1:9">
      <c r="A40" s="5">
        <v>45877</v>
      </c>
      <c r="B40" t="s">
        <v>25</v>
      </c>
      <c r="C40" s="2">
        <v>47.27</v>
      </c>
    </row>
    <row r="41" spans="1:9">
      <c r="A41" s="5">
        <v>45877</v>
      </c>
      <c r="B41" t="s">
        <v>24</v>
      </c>
      <c r="C41" s="2">
        <v>85.97</v>
      </c>
      <c r="E41" t="s">
        <v>187</v>
      </c>
    </row>
    <row r="42" spans="1:9">
      <c r="A42" s="5">
        <v>45877</v>
      </c>
      <c r="B42" t="s">
        <v>25</v>
      </c>
      <c r="C42" s="2">
        <v>21.48</v>
      </c>
    </row>
    <row r="43" spans="1:9">
      <c r="A43" s="5">
        <v>45877</v>
      </c>
      <c r="B43" t="s">
        <v>21</v>
      </c>
      <c r="C43" s="2">
        <v>121.56</v>
      </c>
    </row>
    <row r="44" spans="1:9">
      <c r="A44" s="5">
        <v>45878</v>
      </c>
      <c r="B44" t="s">
        <v>27</v>
      </c>
      <c r="C44" s="2">
        <v>24.99</v>
      </c>
    </row>
    <row r="45" spans="1:9">
      <c r="A45" s="5">
        <v>45878</v>
      </c>
      <c r="B45" t="s">
        <v>21</v>
      </c>
      <c r="C45" s="2">
        <v>74.33</v>
      </c>
    </row>
    <row r="46" spans="1:9">
      <c r="A46" s="5">
        <v>45878</v>
      </c>
      <c r="B46" t="s">
        <v>21</v>
      </c>
      <c r="C46" s="2">
        <v>2.16</v>
      </c>
    </row>
    <row r="47" spans="1:9">
      <c r="A47" s="5">
        <v>45878</v>
      </c>
      <c r="B47" t="s">
        <v>21</v>
      </c>
      <c r="C47" s="2">
        <v>32.47</v>
      </c>
    </row>
    <row r="48" spans="1:9">
      <c r="A48" s="5">
        <v>45879</v>
      </c>
      <c r="B48" t="s">
        <v>27</v>
      </c>
      <c r="C48" s="2">
        <v>0.89</v>
      </c>
    </row>
    <row r="49" spans="1:3">
      <c r="A49" s="5">
        <v>45879</v>
      </c>
      <c r="B49" t="s">
        <v>21</v>
      </c>
      <c r="C49" s="2">
        <v>36.72</v>
      </c>
    </row>
    <row r="65" spans="5:5">
      <c r="E65" s="15"/>
    </row>
    <row r="67" spans="5:5">
      <c r="E67" s="15"/>
    </row>
    <row r="75" spans="5:5">
      <c r="E75" s="15"/>
    </row>
  </sheetData>
  <dataValidations count="2">
    <dataValidation type="list" allowBlank="1" showInputMessage="1" showErrorMessage="1" sqref="D31:D1048576 D29" xr:uid="{2B0359EE-37C6-4DE4-AA97-0C147EE272F1}">
      <formula1>"Chase, SchoolsFirst"</formula1>
    </dataValidation>
    <dataValidation type="list" allowBlank="1" showInputMessage="1" showErrorMessage="1" sqref="B29:B1048576" xr:uid="{05FEB493-1D39-46E8-8DAE-87393715C137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F0C0-5FA2-42F6-A413-B99F7C21835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72E7-310C-8647-9EAF-37D393A22A6F}">
  <dimension ref="A1:K75"/>
  <sheetViews>
    <sheetView topLeftCell="A3" workbookViewId="0">
      <selection activeCell="D19" sqref="D19"/>
    </sheetView>
  </sheetViews>
  <sheetFormatPr defaultRowHeight="15"/>
  <cols>
    <col min="1" max="1" width="28" style="5" customWidth="1"/>
    <col min="2" max="2" width="24.85546875" customWidth="1"/>
    <col min="3" max="3" width="24.85546875" style="2" customWidth="1"/>
    <col min="4" max="4" width="27.85546875" style="2" customWidth="1"/>
    <col min="5" max="5" width="66.28515625" bestFit="1" customWidth="1"/>
    <col min="6" max="6" width="33.42578125" customWidth="1"/>
    <col min="7" max="7" width="20.5703125" customWidth="1"/>
    <col min="8" max="8" width="42.42578125" customWidth="1"/>
    <col min="9" max="9" width="25.85546875" customWidth="1"/>
    <col min="10" max="10" width="33.42578125" customWidth="1"/>
  </cols>
  <sheetData>
    <row r="1" spans="1:10" ht="24.75">
      <c r="A1" s="14" t="s">
        <v>0</v>
      </c>
      <c r="C1" s="1"/>
      <c r="D1"/>
    </row>
    <row r="2" spans="1:10">
      <c r="A2" s="3">
        <v>6421.02</v>
      </c>
      <c r="B2" s="25">
        <f>SUM(H28,H31,H35)</f>
        <v>7862.58</v>
      </c>
      <c r="C2" s="3"/>
      <c r="D2"/>
    </row>
    <row r="3" spans="1:10">
      <c r="A3"/>
      <c r="C3"/>
      <c r="D3"/>
    </row>
    <row r="4" spans="1:10" ht="24.75">
      <c r="A4" s="14" t="s">
        <v>1</v>
      </c>
      <c r="C4"/>
      <c r="D4"/>
    </row>
    <row r="5" spans="1:10">
      <c r="A5" s="3">
        <f>SUM(F8:F14,J8:J22)</f>
        <v>786.25800000000004</v>
      </c>
      <c r="C5"/>
      <c r="D5"/>
    </row>
    <row r="6" spans="1:10">
      <c r="A6"/>
      <c r="C6"/>
      <c r="D6"/>
    </row>
    <row r="7" spans="1:10" ht="24.75">
      <c r="A7" s="14" t="s">
        <v>35</v>
      </c>
      <c r="C7"/>
      <c r="D7" s="9" t="s">
        <v>3</v>
      </c>
      <c r="E7" s="9" t="s">
        <v>4</v>
      </c>
      <c r="F7" s="9" t="s">
        <v>5</v>
      </c>
      <c r="G7" s="4"/>
      <c r="H7" s="6" t="s">
        <v>6</v>
      </c>
      <c r="I7" s="6" t="s">
        <v>4</v>
      </c>
      <c r="J7" s="6" t="s">
        <v>5</v>
      </c>
    </row>
    <row r="8" spans="1:10">
      <c r="A8" s="3">
        <f>SUM(E8:E14,I8:I23)</f>
        <v>7812.3779999999997</v>
      </c>
      <c r="C8"/>
      <c r="D8" s="10" t="s">
        <v>7</v>
      </c>
      <c r="E8" s="11">
        <v>200</v>
      </c>
      <c r="F8" s="11">
        <f>SUMIF($B$29:$B$1048576,"Bridge",$C$29:$C$1048576)</f>
        <v>0</v>
      </c>
      <c r="G8" s="2"/>
      <c r="H8" s="12" t="s">
        <v>8</v>
      </c>
      <c r="I8" s="13">
        <v>40</v>
      </c>
      <c r="J8" s="13">
        <f>SUMIF($B$29:$B$1048576,"Car Upkeep",$C$29:$C$1048576)</f>
        <v>0</v>
      </c>
    </row>
    <row r="9" spans="1:10">
      <c r="A9"/>
      <c r="C9"/>
      <c r="D9" s="10" t="s">
        <v>9</v>
      </c>
      <c r="E9" s="11">
        <v>312.43</v>
      </c>
      <c r="F9" s="11">
        <f>SUMIF($B$29:$B$1048576,"Bronco payment",$C$29:$C$1048576)</f>
        <v>0</v>
      </c>
      <c r="G9" s="2"/>
      <c r="H9" s="12" t="s">
        <v>10</v>
      </c>
      <c r="I9" s="13">
        <v>100</v>
      </c>
      <c r="J9" s="13">
        <f>SUMIF($B$29:$B$1048576,"Date/Fun Money",$C$29:$C$1048576)</f>
        <v>0</v>
      </c>
    </row>
    <row r="10" spans="1:10">
      <c r="A10"/>
      <c r="C10"/>
      <c r="D10" s="10" t="s">
        <v>11</v>
      </c>
      <c r="E10" s="11">
        <v>35</v>
      </c>
      <c r="F10" s="11">
        <f>SUMIF($B$29:$B$1048576,"Car Wash",$C$29:$C$1048576)</f>
        <v>0</v>
      </c>
      <c r="G10" s="2"/>
      <c r="H10" s="12" t="s">
        <v>12</v>
      </c>
      <c r="I10" s="13">
        <v>50</v>
      </c>
      <c r="J10" s="13">
        <f>SUMIF($B$29:$B$1048576,"Dining Out",$C$29:$C$1048576)</f>
        <v>0</v>
      </c>
    </row>
    <row r="11" spans="1:10">
      <c r="A11"/>
      <c r="C11"/>
      <c r="D11" s="10" t="s">
        <v>36</v>
      </c>
      <c r="E11" s="11">
        <v>2517.69</v>
      </c>
      <c r="F11" s="11">
        <f>SUMIF($B$29:$B$1048576,"Mortgage",$C$29:$C$1048576)</f>
        <v>0</v>
      </c>
      <c r="G11" s="2"/>
      <c r="H11" s="12" t="s">
        <v>14</v>
      </c>
      <c r="I11" s="13">
        <v>75</v>
      </c>
      <c r="J11" s="13">
        <f>SUMIF($B$29:$B$1048576,"Dogs",$C$29:$C$1048576)</f>
        <v>0</v>
      </c>
    </row>
    <row r="12" spans="1:10">
      <c r="A12"/>
      <c r="C12"/>
      <c r="D12" s="10" t="s">
        <v>15</v>
      </c>
      <c r="E12" s="11">
        <v>200</v>
      </c>
      <c r="F12" s="11">
        <f>SUMIF($B$29:$B$1048576,"Utilities",$C$29:$C$1048576)</f>
        <v>0</v>
      </c>
      <c r="G12" s="2"/>
      <c r="H12" s="12" t="s">
        <v>16</v>
      </c>
      <c r="I12" s="13">
        <v>1000</v>
      </c>
      <c r="J12" s="13">
        <f>SUMIF($B$29:$B$1048576,"Emergency Savings",$C$29:$C$1048576)</f>
        <v>0</v>
      </c>
    </row>
    <row r="13" spans="1:10">
      <c r="A13"/>
      <c r="C13"/>
      <c r="D13" s="10" t="s">
        <v>17</v>
      </c>
      <c r="E13" s="11">
        <v>75</v>
      </c>
      <c r="F13" s="11">
        <f>SUMIF($B$29:$B$1048576,"Wifi",$C$29:$C$1048576)</f>
        <v>0</v>
      </c>
      <c r="G13" s="2"/>
      <c r="H13" s="12" t="s">
        <v>18</v>
      </c>
      <c r="I13" s="13">
        <v>320</v>
      </c>
      <c r="J13" s="13">
        <f>SUMIF($B$29:$B$1048576,"Extra Car Payment",$C$29:$C$1048576)</f>
        <v>0</v>
      </c>
    </row>
    <row r="14" spans="1:10">
      <c r="A14"/>
      <c r="C14"/>
      <c r="D14" s="10" t="s">
        <v>19</v>
      </c>
      <c r="E14" s="11">
        <f>B2*0.1</f>
        <v>786.25800000000004</v>
      </c>
      <c r="F14" s="11">
        <f>E14</f>
        <v>786.25800000000004</v>
      </c>
      <c r="G14" s="2"/>
      <c r="H14" s="12" t="s">
        <v>20</v>
      </c>
      <c r="I14" s="13">
        <v>200</v>
      </c>
      <c r="J14" s="13">
        <f>SUMIF($B$29:$B$1048576,"Gas",$C$29:$C$1048576)</f>
        <v>0</v>
      </c>
    </row>
    <row r="15" spans="1:10" ht="13.5" customHeight="1">
      <c r="A15"/>
      <c r="C15"/>
      <c r="D15" s="4"/>
      <c r="E15" s="2"/>
      <c r="F15" s="2"/>
      <c r="G15" s="2"/>
      <c r="H15" s="12" t="s">
        <v>21</v>
      </c>
      <c r="I15" s="13">
        <v>450</v>
      </c>
      <c r="J15" s="13">
        <f>SUMIF($B$29:$B$1048576,"Groceries",$C$29:$C$1048576)</f>
        <v>0</v>
      </c>
    </row>
    <row r="16" spans="1:10">
      <c r="A16"/>
      <c r="C16"/>
      <c r="D16"/>
      <c r="H16" s="12" t="s">
        <v>22</v>
      </c>
      <c r="I16" s="13">
        <v>175</v>
      </c>
      <c r="J16" s="13">
        <f>SUMIF($B$29:$B$1048576,"House Repayment",$C$29:$C$1048576)</f>
        <v>0</v>
      </c>
    </row>
    <row r="17" spans="1:11">
      <c r="A17"/>
      <c r="C17"/>
      <c r="D17"/>
      <c r="H17" s="12" t="s">
        <v>23</v>
      </c>
      <c r="I17" s="13">
        <v>40</v>
      </c>
      <c r="J17" s="13">
        <f>SUMIF($B$29:$B$1048576,"Household Items",$C$29:$C$1048576)</f>
        <v>0</v>
      </c>
    </row>
    <row r="18" spans="1:11">
      <c r="A18"/>
      <c r="C18"/>
      <c r="D18"/>
      <c r="H18" s="12" t="s">
        <v>24</v>
      </c>
      <c r="I18" s="13">
        <v>200</v>
      </c>
      <c r="J18" s="13">
        <f>SUMIF($B$29:$B$1048576,"Shopping",$C$29:$C$1048576)</f>
        <v>0</v>
      </c>
    </row>
    <row r="19" spans="1:11">
      <c r="A19"/>
      <c r="C19"/>
      <c r="D19"/>
      <c r="H19" s="12" t="s">
        <v>25</v>
      </c>
      <c r="I19" s="13">
        <v>250</v>
      </c>
      <c r="J19" s="13">
        <f>SUMIF($B$29:$B$1048576,"Student Loans",$C$29:$C$1048576)</f>
        <v>0</v>
      </c>
    </row>
    <row r="20" spans="1:11">
      <c r="A20"/>
      <c r="C20"/>
      <c r="D20"/>
      <c r="H20" s="12" t="s">
        <v>26</v>
      </c>
      <c r="I20" s="13">
        <v>500</v>
      </c>
      <c r="J20" s="13">
        <f>SUMIF($B$29:$B$1048576,"Travel",$C$29:$C$1048576)</f>
        <v>0</v>
      </c>
    </row>
    <row r="21" spans="1:11">
      <c r="A21"/>
      <c r="C21"/>
      <c r="D21"/>
      <c r="H21" s="12" t="s">
        <v>27</v>
      </c>
      <c r="I21" s="13">
        <v>136</v>
      </c>
      <c r="J21" s="13">
        <f>SUMIF($B$29:$B$1048576,"Variables",$C$29:$C$1048576)</f>
        <v>0</v>
      </c>
    </row>
    <row r="22" spans="1:11">
      <c r="A22"/>
      <c r="C22"/>
      <c r="D22"/>
      <c r="H22" s="12" t="s">
        <v>182</v>
      </c>
      <c r="I22" s="13">
        <v>100</v>
      </c>
      <c r="J22" s="13">
        <f>SUMIF($B$29:$B$1048576,"Investment",$C$29:$C$1048576)</f>
        <v>0</v>
      </c>
    </row>
    <row r="23" spans="1:11">
      <c r="A23"/>
      <c r="C23"/>
      <c r="D23"/>
      <c r="H23" s="12" t="s">
        <v>183</v>
      </c>
      <c r="I23" s="13">
        <v>50</v>
      </c>
      <c r="J23" s="13">
        <f>SUMIF($B$29:$B$1048576,"Hadlee",$C$29:$C$1048576)</f>
        <v>0</v>
      </c>
    </row>
    <row r="24" spans="1:11">
      <c r="A24"/>
      <c r="C24"/>
      <c r="D24"/>
    </row>
    <row r="25" spans="1:11" ht="24.75">
      <c r="A25"/>
      <c r="C25"/>
      <c r="D25" s="6" t="s">
        <v>28</v>
      </c>
      <c r="E25" s="7">
        <f>SUM(E8:E14)</f>
        <v>4126.3779999999997</v>
      </c>
      <c r="F25" s="2"/>
      <c r="G25" s="2"/>
      <c r="H25" s="6" t="s">
        <v>29</v>
      </c>
      <c r="I25" s="7">
        <f>SUM(I8:I21)</f>
        <v>3536</v>
      </c>
    </row>
    <row r="26" spans="1:11" ht="24.75">
      <c r="A26" s="14" t="s">
        <v>30</v>
      </c>
      <c r="C26"/>
      <c r="D26"/>
    </row>
    <row r="27" spans="1:11">
      <c r="A27"/>
      <c r="C27"/>
      <c r="D27"/>
    </row>
    <row r="28" spans="1:11" ht="24.75">
      <c r="A28" s="8" t="s">
        <v>31</v>
      </c>
      <c r="B28" s="8" t="s">
        <v>32</v>
      </c>
      <c r="C28" s="8" t="s">
        <v>33</v>
      </c>
      <c r="D28"/>
      <c r="E28" s="2">
        <f>G28-H28</f>
        <v>3.1799999999998363</v>
      </c>
      <c r="F28" s="6" t="s">
        <v>37</v>
      </c>
      <c r="G28" s="7">
        <f>SUM(E9,E11,E12,E13,I15,I20,I23,-100)</f>
        <v>4005.12</v>
      </c>
      <c r="H28" s="25">
        <v>4001.94</v>
      </c>
    </row>
    <row r="29" spans="1:11">
      <c r="F29" t="s">
        <v>188</v>
      </c>
    </row>
    <row r="30" spans="1:11">
      <c r="G30" s="2"/>
    </row>
    <row r="31" spans="1:11" ht="24.75">
      <c r="E31" s="2"/>
      <c r="F31" s="6" t="s">
        <v>39</v>
      </c>
      <c r="G31" s="7">
        <f>SUM(E8,E14,I9,I10,I11,I14,I18,I21,I16)</f>
        <v>1922.258</v>
      </c>
      <c r="H31">
        <v>1930.32</v>
      </c>
      <c r="I31" s="2"/>
      <c r="K31" s="2"/>
    </row>
    <row r="32" spans="1:11">
      <c r="F32" t="s">
        <v>185</v>
      </c>
    </row>
    <row r="35" spans="5:9" ht="24.75">
      <c r="E35" s="2" t="s">
        <v>189</v>
      </c>
      <c r="F35" s="6" t="s">
        <v>41</v>
      </c>
      <c r="G35" s="7">
        <f>SUM(E10,I8,I12,I13,I17,I19,I22,100)</f>
        <v>1885</v>
      </c>
      <c r="H35">
        <v>1930.32</v>
      </c>
    </row>
    <row r="36" spans="5:9">
      <c r="F36" t="s">
        <v>186</v>
      </c>
    </row>
    <row r="37" spans="5:9">
      <c r="I37" s="2"/>
    </row>
    <row r="38" spans="5:9">
      <c r="F38" s="23"/>
    </row>
    <row r="42" spans="5:9">
      <c r="F42" s="2"/>
    </row>
    <row r="65" spans="5:5">
      <c r="E65" s="15"/>
    </row>
    <row r="67" spans="5:5">
      <c r="E67" s="15"/>
    </row>
    <row r="75" spans="5:5">
      <c r="E75" s="15"/>
    </row>
  </sheetData>
  <dataValidations count="2">
    <dataValidation type="list" allowBlank="1" showInputMessage="1" showErrorMessage="1" sqref="B29:B1048576" xr:uid="{1306DA08-6E28-F542-A801-9D28265ED36A}">
      <formula1>"Bridge, Bronco payment, Car Upkeep, Car Wash, Date/Fun Money, Dining Out, Dogs, Emergency Savings, Extra Car Payment, Gas, Groceries, House Repayment, Household Items, Mortgage, Rent, Shopping, Student Loans, Travel, Utilities, Variables, Wifi"</formula1>
    </dataValidation>
    <dataValidation type="list" allowBlank="1" showInputMessage="1" showErrorMessage="1" sqref="D31:D1048576 D29" xr:uid="{9B12A4DD-B100-E342-B5FE-6D0426BBECDB}">
      <formula1>"Chase, SchoolsFirst"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B380-3220-487D-86E1-43D5FDEF765F}">
  <dimension ref="A1:AJ129"/>
  <sheetViews>
    <sheetView topLeftCell="H1" workbookViewId="0">
      <selection activeCell="B130" sqref="B130"/>
    </sheetView>
  </sheetViews>
  <sheetFormatPr defaultRowHeight="15"/>
  <cols>
    <col min="1" max="1" width="29.140625" style="5" bestFit="1" customWidth="1"/>
    <col min="2" max="2" width="26.140625" bestFit="1" customWidth="1"/>
    <col min="3" max="3" width="24.7109375" style="2" customWidth="1"/>
    <col min="4" max="4" width="27.85546875" style="2" customWidth="1"/>
    <col min="5" max="5" width="66.28515625" bestFit="1" customWidth="1"/>
    <col min="6" max="6" width="33.42578125" customWidth="1"/>
    <col min="7" max="7" width="34.42578125" bestFit="1" customWidth="1"/>
    <col min="8" max="9" width="18.5703125" customWidth="1"/>
    <col min="10" max="10" width="42.42578125" customWidth="1"/>
    <col min="11" max="11" width="25.85546875" customWidth="1"/>
    <col min="12" max="12" width="33.42578125" customWidth="1"/>
    <col min="13" max="13" width="34.42578125" bestFit="1" customWidth="1"/>
  </cols>
  <sheetData>
    <row r="1" spans="1:36" ht="24.75">
      <c r="A1" s="14" t="s">
        <v>0</v>
      </c>
      <c r="B1" s="14" t="s">
        <v>190</v>
      </c>
      <c r="C1" s="14" t="s">
        <v>35</v>
      </c>
      <c r="D1"/>
      <c r="E1" s="9" t="s">
        <v>3</v>
      </c>
      <c r="F1" s="9" t="s">
        <v>4</v>
      </c>
      <c r="G1" s="9" t="s">
        <v>5</v>
      </c>
      <c r="H1" s="6" t="s">
        <v>191</v>
      </c>
      <c r="I1" s="2"/>
      <c r="J1" s="6" t="s">
        <v>6</v>
      </c>
      <c r="K1" s="6" t="s">
        <v>4</v>
      </c>
      <c r="L1" s="6" t="s">
        <v>5</v>
      </c>
      <c r="M1" s="6" t="s">
        <v>191</v>
      </c>
    </row>
    <row r="2" spans="1:36">
      <c r="A2" s="3">
        <f>SUM(A6:C6)</f>
        <v>8192.0300000000007</v>
      </c>
      <c r="B2" s="3">
        <f>SUM(C31:C1048576)</f>
        <v>10335.389999999998</v>
      </c>
      <c r="C2" s="3">
        <f>SUM(F13,K21)</f>
        <v>8192.5829999999987</v>
      </c>
      <c r="D2"/>
      <c r="E2" s="10" t="s">
        <v>7</v>
      </c>
      <c r="F2" s="11">
        <v>70</v>
      </c>
      <c r="G2" s="11">
        <f>SUMIF($B$31:$B$1048576,"Bridge",$C$31:$C$1048576)</f>
        <v>0</v>
      </c>
      <c r="H2" s="13">
        <f>F2-G2</f>
        <v>70</v>
      </c>
      <c r="I2" s="2"/>
      <c r="J2" s="12" t="s">
        <v>8</v>
      </c>
      <c r="K2" s="13">
        <v>40</v>
      </c>
      <c r="L2" s="13">
        <f>SUMIF($B$31:$B$1048576,"Car Upkeep",$C$31:$C$1048576)</f>
        <v>0</v>
      </c>
      <c r="M2" s="13">
        <f>K2-L2</f>
        <v>40</v>
      </c>
    </row>
    <row r="3" spans="1:36">
      <c r="A3"/>
      <c r="C3"/>
      <c r="D3"/>
      <c r="E3" s="10" t="s">
        <v>192</v>
      </c>
      <c r="F3" s="11">
        <v>557.25</v>
      </c>
      <c r="G3" s="11">
        <f>SUMIF($B$31:$B$1048576,"4Runner payment",$C$31:$C$1048576)</f>
        <v>557.25</v>
      </c>
      <c r="H3" s="13">
        <f t="shared" ref="H3:H17" si="0">F3-G3</f>
        <v>0</v>
      </c>
      <c r="I3" s="2"/>
      <c r="J3" s="12" t="s">
        <v>10</v>
      </c>
      <c r="K3" s="13">
        <v>100</v>
      </c>
      <c r="L3" s="13">
        <f>SUMIF($B$31:$B$1048576,"Date/Fun Money",$C$31:$C$1048576)</f>
        <v>199.98999999999998</v>
      </c>
      <c r="M3" s="13">
        <f t="shared" ref="M3:M17" si="1">K3-L3</f>
        <v>-99.989999999999981</v>
      </c>
    </row>
    <row r="4" spans="1:36">
      <c r="A4"/>
      <c r="C4"/>
      <c r="D4"/>
      <c r="E4" s="10" t="s">
        <v>11</v>
      </c>
      <c r="F4" s="11">
        <v>35</v>
      </c>
      <c r="G4" s="11">
        <f>SUMIF($B$31:$B$1048576,"Car Wash",$C$31:$C$1048576)</f>
        <v>0</v>
      </c>
      <c r="H4" s="13">
        <f t="shared" si="0"/>
        <v>35</v>
      </c>
      <c r="I4" s="2"/>
      <c r="J4" s="12" t="s">
        <v>12</v>
      </c>
      <c r="K4" s="13">
        <v>50</v>
      </c>
      <c r="L4" s="13">
        <f>SUMIF($B$31:$B$1048576,"Dining Out",$C$31:$C$1048576)</f>
        <v>206.22000000000003</v>
      </c>
      <c r="M4" s="13">
        <f t="shared" si="1"/>
        <v>-156.22000000000003</v>
      </c>
      <c r="AJ4" s="10" t="s">
        <v>7</v>
      </c>
    </row>
    <row r="5" spans="1:36" ht="24.75">
      <c r="A5" s="14" t="s">
        <v>193</v>
      </c>
      <c r="B5" s="14" t="s">
        <v>194</v>
      </c>
      <c r="C5" s="14" t="s">
        <v>195</v>
      </c>
      <c r="D5"/>
      <c r="E5" s="10" t="s">
        <v>36</v>
      </c>
      <c r="F5" s="11">
        <v>2517.69</v>
      </c>
      <c r="G5" s="11">
        <f>SUMIF($B$31:$B$1048576,"Mortgage",$C$31:$C$1048576)</f>
        <v>2504.37</v>
      </c>
      <c r="H5" s="13">
        <f t="shared" si="0"/>
        <v>13.320000000000164</v>
      </c>
      <c r="I5" s="2"/>
      <c r="J5" s="12" t="s">
        <v>14</v>
      </c>
      <c r="K5" s="13">
        <v>75</v>
      </c>
      <c r="L5" s="13">
        <f>SUMIF($B$31:$B$1048576,"Dogs",$C$31:$C$1048576)</f>
        <v>76</v>
      </c>
      <c r="M5" s="13">
        <f t="shared" si="1"/>
        <v>-1</v>
      </c>
      <c r="AJ5" s="10" t="s">
        <v>192</v>
      </c>
    </row>
    <row r="6" spans="1:36">
      <c r="A6" s="3">
        <v>4386.3100000000004</v>
      </c>
      <c r="B6" s="3">
        <v>1910.52</v>
      </c>
      <c r="C6" s="3">
        <v>1895.2</v>
      </c>
      <c r="E6" s="10" t="s">
        <v>15</v>
      </c>
      <c r="F6" s="11">
        <v>200</v>
      </c>
      <c r="G6" s="11">
        <f>SUMIF($B$31:$B$1048576,"Utilities",$C$31:$C$1048576)</f>
        <v>217.19</v>
      </c>
      <c r="H6" s="13">
        <f t="shared" si="0"/>
        <v>-17.189999999999998</v>
      </c>
      <c r="I6" s="2"/>
      <c r="J6" s="12" t="s">
        <v>196</v>
      </c>
      <c r="K6" s="13">
        <v>290</v>
      </c>
      <c r="L6" s="13">
        <f>SUMIF($B$31:$B$1048576,"House Savings",$C$31:$C$1048576)</f>
        <v>0</v>
      </c>
      <c r="M6" s="13">
        <f t="shared" si="1"/>
        <v>290</v>
      </c>
      <c r="AJ6" s="10" t="s">
        <v>11</v>
      </c>
    </row>
    <row r="7" spans="1:36">
      <c r="A7"/>
      <c r="C7"/>
      <c r="D7"/>
      <c r="E7" s="10" t="s">
        <v>17</v>
      </c>
      <c r="F7" s="11">
        <v>75</v>
      </c>
      <c r="G7" s="11">
        <f>SUMIF($B$31:$B$1048576,"Wifi",$C$31:$C$1048576)</f>
        <v>75</v>
      </c>
      <c r="H7" s="13">
        <f t="shared" si="0"/>
        <v>0</v>
      </c>
      <c r="I7" s="2"/>
      <c r="J7" s="12" t="s">
        <v>18</v>
      </c>
      <c r="K7" s="13">
        <v>417</v>
      </c>
      <c r="L7" s="13">
        <f>SUMIF($B$31:$B$1048576,"Extra Car Payment",$C$31:$C$1048576)</f>
        <v>0</v>
      </c>
      <c r="M7" s="13">
        <f t="shared" si="1"/>
        <v>417</v>
      </c>
      <c r="AJ7" s="10" t="s">
        <v>36</v>
      </c>
    </row>
    <row r="8" spans="1:36">
      <c r="A8" s="3" t="s">
        <v>36</v>
      </c>
      <c r="B8" s="3" t="s">
        <v>197</v>
      </c>
      <c r="C8" s="3" t="s">
        <v>198</v>
      </c>
      <c r="D8"/>
      <c r="E8" s="10" t="s">
        <v>19</v>
      </c>
      <c r="F8" s="11">
        <f>A2*0.1</f>
        <v>819.20300000000009</v>
      </c>
      <c r="G8" s="11">
        <f>F8</f>
        <v>819.20300000000009</v>
      </c>
      <c r="H8" s="13">
        <f t="shared" si="0"/>
        <v>0</v>
      </c>
      <c r="I8" s="2"/>
      <c r="J8" s="12" t="s">
        <v>20</v>
      </c>
      <c r="K8" s="13">
        <v>200</v>
      </c>
      <c r="L8" s="13">
        <f>SUMIF($B$31:$B$1048576,"Gas",$C$31:$C$1048576)</f>
        <v>213.06000000000003</v>
      </c>
      <c r="M8" s="13">
        <f t="shared" si="1"/>
        <v>-13.060000000000031</v>
      </c>
      <c r="AJ8" s="10" t="s">
        <v>15</v>
      </c>
    </row>
    <row r="9" spans="1:36">
      <c r="A9" s="3" t="s">
        <v>15</v>
      </c>
      <c r="B9" s="3" t="s">
        <v>19</v>
      </c>
      <c r="C9" s="3" t="s">
        <v>8</v>
      </c>
      <c r="D9"/>
      <c r="E9" s="10" t="s">
        <v>199</v>
      </c>
      <c r="F9" s="11">
        <v>500</v>
      </c>
      <c r="G9" s="11">
        <f>SUMIF($B$31:$B$1048576,"Nanny",$C$31:$C$1048576)</f>
        <v>500</v>
      </c>
      <c r="H9" s="13">
        <f t="shared" si="0"/>
        <v>0</v>
      </c>
      <c r="I9" s="2"/>
      <c r="J9" s="12" t="s">
        <v>21</v>
      </c>
      <c r="K9" s="13">
        <v>450</v>
      </c>
      <c r="L9" s="13">
        <f>SUMIF($B$31:$B$1048576,"Groceries",$C$31:$C$1048576) +40.45+7+14.04</f>
        <v>708.24</v>
      </c>
      <c r="M9" s="13">
        <f t="shared" si="1"/>
        <v>-258.24</v>
      </c>
      <c r="AJ9" s="10" t="s">
        <v>17</v>
      </c>
    </row>
    <row r="10" spans="1:36">
      <c r="A10" s="3" t="s">
        <v>17</v>
      </c>
      <c r="B10" s="3" t="s">
        <v>10</v>
      </c>
      <c r="C10" s="3" t="s">
        <v>16</v>
      </c>
      <c r="D10"/>
      <c r="E10" s="10" t="s">
        <v>200</v>
      </c>
      <c r="F10" s="11">
        <v>134.44</v>
      </c>
      <c r="G10" s="11">
        <f>SUMIF($B$31:$B$1048576,"Car Insurance",$C$31:$C$1048576)</f>
        <v>134.44</v>
      </c>
      <c r="H10" s="13">
        <f t="shared" si="0"/>
        <v>0</v>
      </c>
      <c r="I10" s="2"/>
      <c r="J10" s="12" t="s">
        <v>23</v>
      </c>
      <c r="K10" s="13">
        <v>60</v>
      </c>
      <c r="L10" s="13">
        <f>SUMIF($B$31:$B$1048576,"Household Items",$C$31:$C$1048576)</f>
        <v>122.33000000000001</v>
      </c>
      <c r="M10" s="13">
        <f t="shared" si="1"/>
        <v>-62.330000000000013</v>
      </c>
      <c r="AJ10" s="10" t="s">
        <v>19</v>
      </c>
    </row>
    <row r="11" spans="1:36">
      <c r="A11" s="3" t="s">
        <v>21</v>
      </c>
      <c r="B11" s="3" t="s">
        <v>12</v>
      </c>
      <c r="C11" s="3" t="s">
        <v>18</v>
      </c>
      <c r="D11"/>
      <c r="E11" s="10" t="s">
        <v>201</v>
      </c>
      <c r="F11" s="11">
        <v>27</v>
      </c>
      <c r="G11" s="11">
        <f>SUMIF($B$31:$B$1048576,"Home Insurance",$C$31:$C$1048576)</f>
        <v>27</v>
      </c>
      <c r="H11" s="13">
        <f t="shared" si="0"/>
        <v>0</v>
      </c>
      <c r="I11" s="2"/>
      <c r="J11" s="12" t="s">
        <v>24</v>
      </c>
      <c r="K11" s="13">
        <v>200</v>
      </c>
      <c r="L11" s="13">
        <f>SUMIF($B$31:$B$1048576,"Shopping",$C$31:$C$1048576)</f>
        <v>397.36999999999995</v>
      </c>
      <c r="M11" s="13">
        <f t="shared" si="1"/>
        <v>-197.36999999999995</v>
      </c>
      <c r="AJ11" s="10" t="s">
        <v>199</v>
      </c>
    </row>
    <row r="12" spans="1:36">
      <c r="A12" s="3" t="s">
        <v>202</v>
      </c>
      <c r="B12" s="3" t="s">
        <v>14</v>
      </c>
      <c r="C12" s="3" t="s">
        <v>23</v>
      </c>
      <c r="D12"/>
      <c r="E12" s="2"/>
      <c r="F12" s="2"/>
      <c r="G12" s="2"/>
      <c r="H12" s="2"/>
      <c r="I12" s="2"/>
      <c r="J12" s="12" t="s">
        <v>25</v>
      </c>
      <c r="K12" s="13">
        <v>260</v>
      </c>
      <c r="L12" s="13">
        <f>SUMIF($B$31:$B$1048576,"Student Loans",$C$31:$C$1048576)</f>
        <v>116.47</v>
      </c>
      <c r="M12" s="13">
        <f t="shared" si="1"/>
        <v>143.53</v>
      </c>
      <c r="AJ12" s="10" t="s">
        <v>200</v>
      </c>
    </row>
    <row r="13" spans="1:36" ht="24.75">
      <c r="A13" s="3" t="s">
        <v>183</v>
      </c>
      <c r="B13" s="3" t="s">
        <v>20</v>
      </c>
      <c r="C13" s="3" t="s">
        <v>25</v>
      </c>
      <c r="D13"/>
      <c r="E13" s="9" t="s">
        <v>203</v>
      </c>
      <c r="F13" s="11">
        <f>SUM(F2:F11)</f>
        <v>4935.5829999999996</v>
      </c>
      <c r="G13" s="2"/>
      <c r="H13" s="2"/>
      <c r="I13" s="2"/>
      <c r="J13" s="12" t="s">
        <v>26</v>
      </c>
      <c r="K13" s="13">
        <v>500</v>
      </c>
      <c r="L13" s="13">
        <f>SUMIF($B$31:$B$1048576,"Travel",$C$31:$C$1048576)</f>
        <v>2153.77</v>
      </c>
      <c r="M13" s="13">
        <f t="shared" si="1"/>
        <v>-1653.77</v>
      </c>
      <c r="AJ13" s="10" t="s">
        <v>201</v>
      </c>
    </row>
    <row r="14" spans="1:36">
      <c r="A14" s="3"/>
      <c r="B14" s="3" t="s">
        <v>24</v>
      </c>
      <c r="C14" s="3" t="s">
        <v>182</v>
      </c>
      <c r="D14"/>
      <c r="G14" s="2"/>
      <c r="H14" s="2"/>
      <c r="I14" s="2"/>
      <c r="J14" s="12" t="s">
        <v>27</v>
      </c>
      <c r="K14" s="13">
        <v>163</v>
      </c>
      <c r="L14" s="13">
        <f>SUMIF($B$31:$B$1048576,"Variables",$C$31:$C$1048576) +34.18 +2.39</f>
        <v>244.28999999999996</v>
      </c>
      <c r="M14" s="13">
        <f t="shared" si="1"/>
        <v>-81.289999999999964</v>
      </c>
      <c r="AJ14" s="12" t="s">
        <v>8</v>
      </c>
    </row>
    <row r="15" spans="1:36" ht="13.5" customHeight="1">
      <c r="A15" s="3"/>
      <c r="B15" s="3" t="s">
        <v>27</v>
      </c>
      <c r="C15" s="3" t="s">
        <v>204</v>
      </c>
      <c r="D15" s="4"/>
      <c r="E15" s="2"/>
      <c r="F15" s="2"/>
      <c r="G15" s="2"/>
      <c r="H15" s="2"/>
      <c r="I15" s="2"/>
      <c r="J15" s="12" t="s">
        <v>205</v>
      </c>
      <c r="K15" s="13">
        <v>32</v>
      </c>
      <c r="L15" s="13">
        <f>SUMIF($B$31:$B$1048576,"Gym",$C$31:$C$1048576)</f>
        <v>0</v>
      </c>
      <c r="M15" s="13">
        <f t="shared" si="1"/>
        <v>32</v>
      </c>
      <c r="AJ15" s="12" t="s">
        <v>10</v>
      </c>
    </row>
    <row r="16" spans="1:36">
      <c r="A16" s="3"/>
      <c r="B16" s="3" t="s">
        <v>22</v>
      </c>
      <c r="C16" s="3"/>
      <c r="D16"/>
      <c r="H16" s="2"/>
      <c r="I16" s="2"/>
      <c r="J16" s="12" t="s">
        <v>183</v>
      </c>
      <c r="K16" s="13">
        <v>150</v>
      </c>
      <c r="L16" s="13">
        <f>SUMIF($B$31:$B$1048576,"Hadlee",$C$31:$C$1048576)</f>
        <v>477.21000000000004</v>
      </c>
      <c r="M16" s="13">
        <f t="shared" si="1"/>
        <v>-327.21000000000004</v>
      </c>
      <c r="AJ16" s="12" t="s">
        <v>12</v>
      </c>
    </row>
    <row r="17" spans="1:36">
      <c r="A17"/>
      <c r="C17"/>
      <c r="D17"/>
      <c r="H17" s="2"/>
      <c r="I17" s="2"/>
      <c r="J17" s="12" t="s">
        <v>206</v>
      </c>
      <c r="K17" s="13">
        <v>120</v>
      </c>
      <c r="L17" s="13">
        <f>SUMIF($B$31:$B$1048576,"Gift Money",$C$31:$C$1048576)</f>
        <v>344.97</v>
      </c>
      <c r="M17" s="13">
        <f t="shared" si="1"/>
        <v>-224.97000000000003</v>
      </c>
      <c r="AJ17" s="12" t="s">
        <v>14</v>
      </c>
    </row>
    <row r="18" spans="1:36">
      <c r="A18"/>
      <c r="C18"/>
      <c r="D18"/>
      <c r="H18" s="2"/>
      <c r="I18" s="2"/>
      <c r="J18" s="12" t="s">
        <v>207</v>
      </c>
      <c r="K18" s="13">
        <v>150</v>
      </c>
      <c r="L18" s="13">
        <f>SUMIF($B$31:$B$1048576,"Mikelle shot",$C$31:$C$1048576)</f>
        <v>0</v>
      </c>
      <c r="M18" s="13">
        <f>K18-L18</f>
        <v>150</v>
      </c>
      <c r="AJ18" s="12" t="s">
        <v>196</v>
      </c>
    </row>
    <row r="19" spans="1:36">
      <c r="A19"/>
      <c r="C19"/>
      <c r="D19"/>
      <c r="E19" s="2"/>
      <c r="H19" s="2"/>
      <c r="I19" s="2"/>
      <c r="J19" s="12" t="s">
        <v>208</v>
      </c>
      <c r="K19" s="13">
        <v>0</v>
      </c>
      <c r="L19" s="13">
        <f>SUMIF($B$31:$B$1048576,"Emergency",$C$31:$C$1048576)</f>
        <v>339.08</v>
      </c>
      <c r="M19" s="13">
        <f>K19-L19</f>
        <v>-339.08</v>
      </c>
      <c r="AJ19" s="12"/>
    </row>
    <row r="20" spans="1:36">
      <c r="A20"/>
      <c r="C20"/>
      <c r="D20"/>
      <c r="H20" s="2"/>
      <c r="I20" s="2"/>
      <c r="J20" s="2"/>
      <c r="K20" s="2"/>
      <c r="L20" s="2"/>
      <c r="M20" s="2"/>
      <c r="AJ20" s="12"/>
    </row>
    <row r="21" spans="1:36" ht="24.75">
      <c r="A21" s="2"/>
      <c r="C21"/>
      <c r="D21"/>
      <c r="H21" s="2"/>
      <c r="I21" s="2"/>
      <c r="J21" s="6" t="s">
        <v>203</v>
      </c>
      <c r="K21" s="13">
        <f>SUM(K2:K18)</f>
        <v>3257</v>
      </c>
      <c r="L21" s="2"/>
      <c r="M21" s="2"/>
      <c r="AJ21" s="12" t="s">
        <v>18</v>
      </c>
    </row>
    <row r="22" spans="1:36">
      <c r="A22"/>
      <c r="C22"/>
      <c r="D22"/>
      <c r="H22" s="2"/>
      <c r="I22" s="2"/>
      <c r="J22" s="2"/>
      <c r="K22" s="2"/>
      <c r="L22" s="2"/>
      <c r="M22" s="2"/>
      <c r="AJ22" s="12" t="s">
        <v>20</v>
      </c>
    </row>
    <row r="23" spans="1:36">
      <c r="A23"/>
      <c r="C23"/>
      <c r="D23"/>
      <c r="H23" s="2"/>
      <c r="I23" s="2"/>
      <c r="J23" s="2"/>
      <c r="K23" s="2"/>
      <c r="L23" s="2"/>
      <c r="M23" s="2"/>
      <c r="AJ23" s="12" t="s">
        <v>21</v>
      </c>
    </row>
    <row r="24" spans="1:36">
      <c r="A24"/>
      <c r="C24"/>
      <c r="D24"/>
      <c r="H24" s="2"/>
      <c r="I24" s="2"/>
      <c r="J24" s="2"/>
      <c r="K24" s="2"/>
      <c r="L24" s="2"/>
      <c r="M24" s="2"/>
      <c r="AJ24" s="12" t="s">
        <v>23</v>
      </c>
    </row>
    <row r="25" spans="1:36">
      <c r="A25"/>
      <c r="C25"/>
      <c r="D25"/>
      <c r="E25" s="26"/>
      <c r="F25" s="2"/>
      <c r="H25" s="2"/>
      <c r="I25" s="2"/>
      <c r="L25" s="2"/>
      <c r="M25" s="2"/>
      <c r="AJ25" s="12" t="s">
        <v>24</v>
      </c>
    </row>
    <row r="26" spans="1:36">
      <c r="A26"/>
      <c r="C26"/>
      <c r="D26"/>
      <c r="K26" s="2"/>
      <c r="AJ26" s="12" t="s">
        <v>25</v>
      </c>
    </row>
    <row r="27" spans="1:36">
      <c r="A27"/>
      <c r="C27"/>
      <c r="D27"/>
      <c r="AJ27" s="12" t="s">
        <v>26</v>
      </c>
    </row>
    <row r="28" spans="1:36" ht="24.75">
      <c r="A28" s="14" t="s">
        <v>30</v>
      </c>
      <c r="C28"/>
      <c r="D28"/>
      <c r="E28" s="26"/>
      <c r="F28" s="2"/>
      <c r="AJ28" s="12" t="s">
        <v>27</v>
      </c>
    </row>
    <row r="29" spans="1:36">
      <c r="A29"/>
      <c r="C29"/>
      <c r="D29"/>
      <c r="AJ29" s="12" t="s">
        <v>205</v>
      </c>
    </row>
    <row r="30" spans="1:36" ht="24.75">
      <c r="A30" s="8" t="s">
        <v>31</v>
      </c>
      <c r="B30" s="8" t="s">
        <v>32</v>
      </c>
      <c r="C30" s="8" t="s">
        <v>33</v>
      </c>
      <c r="D30" s="8" t="s">
        <v>209</v>
      </c>
      <c r="E30" s="8" t="s">
        <v>210</v>
      </c>
      <c r="F30" s="2"/>
      <c r="AJ30" s="12" t="s">
        <v>183</v>
      </c>
    </row>
    <row r="31" spans="1:36">
      <c r="A31" s="5">
        <v>46054</v>
      </c>
      <c r="B31" t="s">
        <v>21</v>
      </c>
      <c r="C31" s="2">
        <v>166.37</v>
      </c>
      <c r="D31" s="2" t="s">
        <v>211</v>
      </c>
      <c r="AJ31" s="12" t="s">
        <v>206</v>
      </c>
    </row>
    <row r="32" spans="1:36">
      <c r="A32" s="5">
        <v>46054</v>
      </c>
      <c r="B32" t="s">
        <v>14</v>
      </c>
      <c r="C32" s="2">
        <v>36</v>
      </c>
      <c r="AJ32" s="12" t="s">
        <v>208</v>
      </c>
    </row>
    <row r="33" spans="1:36">
      <c r="A33" s="5">
        <v>46054</v>
      </c>
      <c r="B33" t="s">
        <v>23</v>
      </c>
      <c r="C33" s="2">
        <v>29</v>
      </c>
      <c r="D33" s="2" t="s">
        <v>212</v>
      </c>
      <c r="AJ33" s="12" t="s">
        <v>207</v>
      </c>
    </row>
    <row r="34" spans="1:36">
      <c r="A34" s="5">
        <v>46054</v>
      </c>
      <c r="B34" t="s">
        <v>23</v>
      </c>
      <c r="C34" s="2">
        <v>45.18</v>
      </c>
      <c r="D34" s="2" t="s">
        <v>213</v>
      </c>
    </row>
    <row r="35" spans="1:36">
      <c r="A35" s="5">
        <v>46054</v>
      </c>
      <c r="B35" t="s">
        <v>21</v>
      </c>
      <c r="C35" s="2">
        <v>2.87</v>
      </c>
      <c r="D35" s="2" t="s">
        <v>214</v>
      </c>
    </row>
    <row r="36" spans="1:36">
      <c r="A36" s="5">
        <v>46055</v>
      </c>
      <c r="B36" t="s">
        <v>17</v>
      </c>
      <c r="C36" s="2">
        <v>75</v>
      </c>
    </row>
    <row r="37" spans="1:36">
      <c r="A37" s="5">
        <v>46055</v>
      </c>
      <c r="B37" t="s">
        <v>25</v>
      </c>
      <c r="C37" s="2">
        <v>108.41</v>
      </c>
      <c r="D37" s="2" t="s">
        <v>215</v>
      </c>
    </row>
    <row r="38" spans="1:36">
      <c r="A38" s="5">
        <v>46056</v>
      </c>
      <c r="B38" t="s">
        <v>206</v>
      </c>
      <c r="C38" s="2">
        <v>14.01</v>
      </c>
      <c r="D38" s="2" t="s">
        <v>216</v>
      </c>
      <c r="K38" s="2"/>
    </row>
    <row r="39" spans="1:36">
      <c r="A39" s="5">
        <v>46056</v>
      </c>
      <c r="B39" t="s">
        <v>192</v>
      </c>
      <c r="C39" s="2">
        <v>557.25</v>
      </c>
      <c r="F39" s="23"/>
    </row>
    <row r="40" spans="1:36">
      <c r="A40" s="5">
        <v>46057</v>
      </c>
      <c r="B40" t="s">
        <v>20</v>
      </c>
      <c r="C40" s="2">
        <v>35.47</v>
      </c>
    </row>
    <row r="41" spans="1:36">
      <c r="A41" s="5">
        <v>46057</v>
      </c>
      <c r="B41" t="s">
        <v>12</v>
      </c>
      <c r="C41" s="2">
        <v>15.45</v>
      </c>
      <c r="D41" s="2" t="s">
        <v>217</v>
      </c>
    </row>
    <row r="42" spans="1:36">
      <c r="A42" s="5">
        <v>46058</v>
      </c>
      <c r="B42" t="s">
        <v>206</v>
      </c>
      <c r="C42" s="2">
        <v>23.62</v>
      </c>
    </row>
    <row r="43" spans="1:36">
      <c r="A43" s="5">
        <v>46057</v>
      </c>
      <c r="B43" t="s">
        <v>21</v>
      </c>
      <c r="C43" s="2">
        <v>37.590000000000003</v>
      </c>
      <c r="F43" s="2"/>
    </row>
    <row r="44" spans="1:36">
      <c r="A44" s="5">
        <v>46058</v>
      </c>
      <c r="B44" t="s">
        <v>206</v>
      </c>
      <c r="C44" s="2">
        <v>14.92</v>
      </c>
    </row>
    <row r="45" spans="1:36">
      <c r="A45" s="5">
        <v>46059</v>
      </c>
      <c r="B45" t="s">
        <v>12</v>
      </c>
      <c r="C45" s="2">
        <v>33.39</v>
      </c>
      <c r="D45" s="2" t="s">
        <v>218</v>
      </c>
    </row>
    <row r="46" spans="1:36">
      <c r="A46" s="5">
        <v>46059</v>
      </c>
      <c r="B46" t="s">
        <v>24</v>
      </c>
      <c r="C46" s="2">
        <v>30</v>
      </c>
      <c r="D46" s="2" t="s">
        <v>219</v>
      </c>
    </row>
    <row r="47" spans="1:36">
      <c r="A47" s="5">
        <v>46059</v>
      </c>
      <c r="B47" t="s">
        <v>183</v>
      </c>
      <c r="C47" s="2">
        <v>70.42</v>
      </c>
      <c r="D47" s="2" t="s">
        <v>220</v>
      </c>
    </row>
    <row r="48" spans="1:36">
      <c r="A48" s="5">
        <v>46059</v>
      </c>
      <c r="B48" t="s">
        <v>24</v>
      </c>
      <c r="C48" s="2">
        <v>7.72</v>
      </c>
      <c r="D48" s="2" t="s">
        <v>221</v>
      </c>
    </row>
    <row r="49" spans="1:5">
      <c r="A49" s="5">
        <v>46059</v>
      </c>
      <c r="B49" t="s">
        <v>27</v>
      </c>
      <c r="C49" s="2">
        <v>43.06</v>
      </c>
      <c r="D49" s="2" t="s">
        <v>222</v>
      </c>
    </row>
    <row r="50" spans="1:5">
      <c r="A50" s="5">
        <v>46059</v>
      </c>
      <c r="B50" t="s">
        <v>24</v>
      </c>
      <c r="C50" s="2">
        <v>270.2</v>
      </c>
      <c r="D50" s="2" t="s">
        <v>223</v>
      </c>
    </row>
    <row r="51" spans="1:5">
      <c r="A51" s="5">
        <v>46059</v>
      </c>
      <c r="B51" t="s">
        <v>10</v>
      </c>
      <c r="C51" s="2">
        <v>25.79</v>
      </c>
      <c r="D51" s="2" t="s">
        <v>224</v>
      </c>
    </row>
    <row r="52" spans="1:5">
      <c r="A52" s="5">
        <v>46059</v>
      </c>
      <c r="B52" t="s">
        <v>10</v>
      </c>
      <c r="C52" s="2">
        <v>8.6</v>
      </c>
      <c r="D52" s="2" t="s">
        <v>224</v>
      </c>
    </row>
    <row r="53" spans="1:5">
      <c r="A53" s="5">
        <v>46059</v>
      </c>
      <c r="B53" t="s">
        <v>12</v>
      </c>
      <c r="C53" s="2">
        <v>40.450000000000003</v>
      </c>
      <c r="D53" s="2" t="s">
        <v>225</v>
      </c>
    </row>
    <row r="54" spans="1:5">
      <c r="A54" s="5">
        <v>46059</v>
      </c>
      <c r="B54" t="s">
        <v>26</v>
      </c>
      <c r="C54" s="2">
        <v>215.6</v>
      </c>
      <c r="D54" s="2" t="s">
        <v>226</v>
      </c>
    </row>
    <row r="55" spans="1:5">
      <c r="A55" s="5">
        <v>46060</v>
      </c>
      <c r="B55" t="s">
        <v>20</v>
      </c>
      <c r="C55" s="2">
        <v>36.44</v>
      </c>
    </row>
    <row r="56" spans="1:5">
      <c r="A56" s="5">
        <v>46060</v>
      </c>
      <c r="B56" t="s">
        <v>183</v>
      </c>
      <c r="C56" s="2">
        <v>76.23</v>
      </c>
      <c r="D56" s="2" t="s">
        <v>227</v>
      </c>
    </row>
    <row r="57" spans="1:5">
      <c r="A57" s="5">
        <v>46060</v>
      </c>
      <c r="B57" t="s">
        <v>23</v>
      </c>
      <c r="C57" s="2">
        <v>7</v>
      </c>
      <c r="D57" s="2" t="s">
        <v>228</v>
      </c>
    </row>
    <row r="58" spans="1:5">
      <c r="A58" s="5">
        <v>46060</v>
      </c>
      <c r="B58" t="s">
        <v>21</v>
      </c>
      <c r="C58" s="2">
        <v>44.98</v>
      </c>
      <c r="D58" s="2" t="s">
        <v>229</v>
      </c>
    </row>
    <row r="59" spans="1:5">
      <c r="A59" s="5">
        <v>46062</v>
      </c>
      <c r="B59" t="s">
        <v>208</v>
      </c>
      <c r="C59" s="2">
        <v>60</v>
      </c>
      <c r="D59" s="2" t="s">
        <v>230</v>
      </c>
    </row>
    <row r="60" spans="1:5">
      <c r="A60" s="5">
        <v>46062</v>
      </c>
      <c r="B60" t="s">
        <v>27</v>
      </c>
      <c r="C60" s="2">
        <v>50</v>
      </c>
      <c r="D60" s="2" t="s">
        <v>231</v>
      </c>
    </row>
    <row r="61" spans="1:5">
      <c r="A61" s="5">
        <v>46063</v>
      </c>
      <c r="B61" t="s">
        <v>21</v>
      </c>
      <c r="C61" s="2">
        <v>40</v>
      </c>
      <c r="D61" s="2" t="s">
        <v>232</v>
      </c>
    </row>
    <row r="62" spans="1:5">
      <c r="A62" s="5">
        <v>46064</v>
      </c>
      <c r="B62" t="s">
        <v>19</v>
      </c>
      <c r="C62" s="2">
        <v>819.2</v>
      </c>
      <c r="E62" t="s">
        <v>233</v>
      </c>
    </row>
    <row r="63" spans="1:5">
      <c r="A63" s="5">
        <v>46063</v>
      </c>
      <c r="B63" t="s">
        <v>36</v>
      </c>
      <c r="C63" s="2">
        <v>2406.41</v>
      </c>
      <c r="E63" t="s">
        <v>233</v>
      </c>
    </row>
    <row r="64" spans="1:5">
      <c r="A64" s="5">
        <v>46059</v>
      </c>
      <c r="B64" t="s">
        <v>36</v>
      </c>
      <c r="C64" s="2">
        <v>97.96</v>
      </c>
      <c r="E64" t="s">
        <v>233</v>
      </c>
    </row>
    <row r="65" spans="1:5">
      <c r="A65" s="5">
        <v>46061</v>
      </c>
      <c r="B65" t="s">
        <v>10</v>
      </c>
      <c r="C65" s="2">
        <v>21.37</v>
      </c>
      <c r="D65" s="2" t="s">
        <v>234</v>
      </c>
      <c r="E65" t="s">
        <v>235</v>
      </c>
    </row>
    <row r="66" spans="1:5">
      <c r="A66" s="5">
        <v>46059</v>
      </c>
      <c r="B66" t="s">
        <v>206</v>
      </c>
      <c r="C66" s="2">
        <v>69.84</v>
      </c>
      <c r="D66" s="2" t="s">
        <v>236</v>
      </c>
      <c r="E66" s="15" t="s">
        <v>235</v>
      </c>
    </row>
    <row r="67" spans="1:5">
      <c r="A67" s="5">
        <v>46058</v>
      </c>
      <c r="B67" t="s">
        <v>208</v>
      </c>
      <c r="C67" s="2">
        <v>99.25</v>
      </c>
      <c r="D67" s="2" t="s">
        <v>237</v>
      </c>
      <c r="E67" t="s">
        <v>235</v>
      </c>
    </row>
    <row r="68" spans="1:5">
      <c r="A68" s="5">
        <v>46060</v>
      </c>
      <c r="B68" t="s">
        <v>27</v>
      </c>
      <c r="C68" s="2">
        <v>6.44</v>
      </c>
      <c r="D68" s="2" t="s">
        <v>238</v>
      </c>
      <c r="E68" s="15" t="s">
        <v>47</v>
      </c>
    </row>
    <row r="69" spans="1:5">
      <c r="A69" s="5">
        <v>46062</v>
      </c>
      <c r="B69" t="s">
        <v>27</v>
      </c>
      <c r="C69" s="2">
        <v>26.85</v>
      </c>
      <c r="D69" s="2" t="s">
        <v>61</v>
      </c>
      <c r="E69" t="s">
        <v>47</v>
      </c>
    </row>
    <row r="70" spans="1:5">
      <c r="A70" s="5">
        <v>46066</v>
      </c>
      <c r="B70" t="s">
        <v>12</v>
      </c>
      <c r="C70" s="2">
        <v>14.04</v>
      </c>
      <c r="D70" s="2" t="s">
        <v>239</v>
      </c>
      <c r="E70" t="s">
        <v>235</v>
      </c>
    </row>
    <row r="71" spans="1:5">
      <c r="A71" s="5">
        <v>46065</v>
      </c>
      <c r="B71" t="s">
        <v>26</v>
      </c>
      <c r="C71" s="2">
        <v>350</v>
      </c>
      <c r="D71" s="2" t="s">
        <v>240</v>
      </c>
      <c r="E71" t="s">
        <v>235</v>
      </c>
    </row>
    <row r="72" spans="1:5">
      <c r="A72" s="5">
        <v>46069</v>
      </c>
      <c r="B72" t="s">
        <v>206</v>
      </c>
      <c r="C72" s="2">
        <v>134.31</v>
      </c>
      <c r="D72" s="2" t="s">
        <v>236</v>
      </c>
      <c r="E72" t="s">
        <v>235</v>
      </c>
    </row>
    <row r="73" spans="1:5">
      <c r="A73" s="5">
        <v>46069</v>
      </c>
      <c r="B73" t="s">
        <v>206</v>
      </c>
      <c r="C73" s="2">
        <v>15.95</v>
      </c>
      <c r="D73" s="2" t="s">
        <v>241</v>
      </c>
      <c r="E73" t="s">
        <v>235</v>
      </c>
    </row>
    <row r="74" spans="1:5">
      <c r="A74" s="5">
        <v>46067</v>
      </c>
      <c r="B74" t="s">
        <v>10</v>
      </c>
      <c r="C74" s="2">
        <v>110</v>
      </c>
      <c r="D74" s="2" t="s">
        <v>242</v>
      </c>
      <c r="E74" t="s">
        <v>235</v>
      </c>
    </row>
    <row r="75" spans="1:5">
      <c r="A75" s="5">
        <v>46068</v>
      </c>
      <c r="B75" t="s">
        <v>26</v>
      </c>
      <c r="C75" s="2">
        <v>530.20000000000005</v>
      </c>
      <c r="D75" s="2" t="s">
        <v>243</v>
      </c>
      <c r="E75" t="s">
        <v>235</v>
      </c>
    </row>
    <row r="76" spans="1:5">
      <c r="A76" s="5">
        <v>46069</v>
      </c>
      <c r="B76" t="s">
        <v>26</v>
      </c>
      <c r="C76" s="2">
        <v>207.28</v>
      </c>
      <c r="D76" s="2" t="s">
        <v>243</v>
      </c>
      <c r="E76" s="15" t="s">
        <v>235</v>
      </c>
    </row>
    <row r="77" spans="1:5">
      <c r="A77" s="5">
        <v>46074</v>
      </c>
      <c r="B77" t="s">
        <v>21</v>
      </c>
      <c r="C77" s="2">
        <v>53.56</v>
      </c>
      <c r="D77" s="2" t="s">
        <v>244</v>
      </c>
      <c r="E77" t="s">
        <v>235</v>
      </c>
    </row>
    <row r="78" spans="1:5">
      <c r="A78" s="5">
        <v>46074</v>
      </c>
      <c r="B78" t="s">
        <v>10</v>
      </c>
      <c r="C78" s="2">
        <v>29.23</v>
      </c>
      <c r="D78" s="2" t="s">
        <v>245</v>
      </c>
      <c r="E78" t="s">
        <v>235</v>
      </c>
    </row>
    <row r="79" spans="1:5">
      <c r="A79" s="5">
        <v>46073</v>
      </c>
      <c r="B79" t="s">
        <v>12</v>
      </c>
      <c r="C79" s="2">
        <v>15.17</v>
      </c>
      <c r="D79" s="2" t="s">
        <v>246</v>
      </c>
      <c r="E79" t="s">
        <v>235</v>
      </c>
    </row>
    <row r="80" spans="1:5">
      <c r="A80" s="5">
        <v>46073</v>
      </c>
      <c r="B80" t="s">
        <v>12</v>
      </c>
      <c r="C80" s="2">
        <v>21.69</v>
      </c>
      <c r="D80" s="2" t="s">
        <v>247</v>
      </c>
      <c r="E80" t="s">
        <v>235</v>
      </c>
    </row>
    <row r="81" spans="1:5">
      <c r="A81" s="5">
        <v>46071</v>
      </c>
      <c r="B81" t="s">
        <v>26</v>
      </c>
      <c r="C81" s="2">
        <v>172.79</v>
      </c>
      <c r="D81" s="2" t="s">
        <v>243</v>
      </c>
      <c r="E81" t="s">
        <v>235</v>
      </c>
    </row>
    <row r="82" spans="1:5">
      <c r="A82" s="5">
        <v>46070</v>
      </c>
      <c r="B82" t="s">
        <v>26</v>
      </c>
      <c r="C82" s="2">
        <v>154.75</v>
      </c>
      <c r="D82" s="2" t="s">
        <v>243</v>
      </c>
      <c r="E82" t="s">
        <v>235</v>
      </c>
    </row>
    <row r="83" spans="1:5">
      <c r="A83" s="5">
        <v>46065</v>
      </c>
      <c r="B83" t="s">
        <v>183</v>
      </c>
      <c r="C83" s="2">
        <v>82.38</v>
      </c>
      <c r="D83" s="2" t="s">
        <v>248</v>
      </c>
      <c r="E83" t="s">
        <v>249</v>
      </c>
    </row>
    <row r="84" spans="1:5">
      <c r="A84" s="5">
        <v>46065</v>
      </c>
      <c r="B84" t="s">
        <v>20</v>
      </c>
      <c r="C84" s="2">
        <v>26.46</v>
      </c>
      <c r="E84" t="s">
        <v>249</v>
      </c>
    </row>
    <row r="85" spans="1:5">
      <c r="A85" s="5">
        <v>46066</v>
      </c>
      <c r="B85" t="s">
        <v>21</v>
      </c>
      <c r="C85" s="2">
        <v>64.69</v>
      </c>
      <c r="D85" s="2" t="s">
        <v>250</v>
      </c>
      <c r="E85" t="s">
        <v>249</v>
      </c>
    </row>
    <row r="86" spans="1:5">
      <c r="A86" s="5">
        <v>46067</v>
      </c>
      <c r="B86" t="s">
        <v>21</v>
      </c>
      <c r="C86" s="2">
        <v>32.19</v>
      </c>
      <c r="D86" s="2" t="s">
        <v>237</v>
      </c>
      <c r="E86" t="s">
        <v>249</v>
      </c>
    </row>
    <row r="87" spans="1:5">
      <c r="A87" s="5">
        <v>46068</v>
      </c>
      <c r="B87" t="s">
        <v>21</v>
      </c>
      <c r="C87" s="2">
        <v>10.79</v>
      </c>
      <c r="D87" s="2" t="s">
        <v>249</v>
      </c>
      <c r="E87" t="s">
        <v>249</v>
      </c>
    </row>
    <row r="88" spans="1:5">
      <c r="A88" s="5">
        <v>46068</v>
      </c>
      <c r="B88" t="s">
        <v>183</v>
      </c>
      <c r="C88" s="2">
        <v>85.93</v>
      </c>
      <c r="D88" s="2" t="s">
        <v>251</v>
      </c>
      <c r="E88" t="s">
        <v>249</v>
      </c>
    </row>
    <row r="89" spans="1:5">
      <c r="A89" s="5">
        <v>46070</v>
      </c>
      <c r="B89" t="s">
        <v>208</v>
      </c>
      <c r="C89" s="2">
        <v>11.43</v>
      </c>
      <c r="D89" s="2" t="s">
        <v>252</v>
      </c>
      <c r="E89" t="s">
        <v>249</v>
      </c>
    </row>
    <row r="90" spans="1:5">
      <c r="A90" s="5">
        <v>46071</v>
      </c>
      <c r="B90" t="s">
        <v>20</v>
      </c>
      <c r="C90" s="2">
        <v>37.11</v>
      </c>
      <c r="E90" t="s">
        <v>249</v>
      </c>
    </row>
    <row r="91" spans="1:5">
      <c r="A91" s="5">
        <v>46072</v>
      </c>
      <c r="B91" t="s">
        <v>26</v>
      </c>
      <c r="C91" s="2">
        <v>453.56</v>
      </c>
      <c r="D91" s="2" t="s">
        <v>253</v>
      </c>
      <c r="E91" t="s">
        <v>249</v>
      </c>
    </row>
    <row r="92" spans="1:5">
      <c r="A92" s="5">
        <v>46077</v>
      </c>
      <c r="B92" t="s">
        <v>208</v>
      </c>
      <c r="C92" s="2">
        <v>100</v>
      </c>
      <c r="D92" s="2" t="s">
        <v>230</v>
      </c>
      <c r="E92" t="s">
        <v>235</v>
      </c>
    </row>
    <row r="93" spans="1:5">
      <c r="A93" s="5">
        <v>46078</v>
      </c>
      <c r="B93" t="s">
        <v>12</v>
      </c>
      <c r="C93" s="2">
        <v>45.97</v>
      </c>
      <c r="D93" s="2" t="s">
        <v>254</v>
      </c>
      <c r="E93" t="s">
        <v>235</v>
      </c>
    </row>
    <row r="94" spans="1:5">
      <c r="A94" s="5">
        <v>46079</v>
      </c>
      <c r="B94" t="s">
        <v>10</v>
      </c>
      <c r="C94" s="2">
        <v>5</v>
      </c>
      <c r="D94" s="2" t="s">
        <v>255</v>
      </c>
      <c r="E94" t="s">
        <v>235</v>
      </c>
    </row>
    <row r="95" spans="1:5">
      <c r="A95" s="5">
        <v>46080</v>
      </c>
      <c r="B95" t="s">
        <v>26</v>
      </c>
      <c r="C95" s="2">
        <v>11.95</v>
      </c>
      <c r="D95" s="2" t="s">
        <v>256</v>
      </c>
      <c r="E95" t="s">
        <v>235</v>
      </c>
    </row>
    <row r="96" spans="1:5">
      <c r="A96" s="5">
        <v>46064</v>
      </c>
      <c r="B96" t="s">
        <v>27</v>
      </c>
      <c r="C96" s="2">
        <v>18.260000000000002</v>
      </c>
      <c r="D96" s="2" t="s">
        <v>257</v>
      </c>
      <c r="E96" t="s">
        <v>43</v>
      </c>
    </row>
    <row r="97" spans="1:5">
      <c r="A97" s="5">
        <v>46072</v>
      </c>
      <c r="B97" t="s">
        <v>15</v>
      </c>
      <c r="C97" s="2">
        <v>175.75</v>
      </c>
      <c r="D97" s="2" t="s">
        <v>15</v>
      </c>
      <c r="E97" t="s">
        <v>43</v>
      </c>
    </row>
    <row r="98" spans="1:5">
      <c r="A98" s="5">
        <v>46073</v>
      </c>
      <c r="B98" t="s">
        <v>200</v>
      </c>
      <c r="C98" s="2">
        <v>134.44</v>
      </c>
      <c r="D98" s="2" t="s">
        <v>200</v>
      </c>
      <c r="E98" t="s">
        <v>43</v>
      </c>
    </row>
    <row r="99" spans="1:5">
      <c r="A99" s="5">
        <v>46079</v>
      </c>
      <c r="B99" t="s">
        <v>15</v>
      </c>
      <c r="C99" s="2">
        <v>41.44</v>
      </c>
      <c r="D99" s="2" t="s">
        <v>20</v>
      </c>
      <c r="E99" t="s">
        <v>43</v>
      </c>
    </row>
    <row r="100" spans="1:5">
      <c r="A100" s="5">
        <v>46061</v>
      </c>
      <c r="B100" t="s">
        <v>206</v>
      </c>
      <c r="C100" s="2">
        <v>28.14</v>
      </c>
      <c r="D100" s="2" t="s">
        <v>258</v>
      </c>
      <c r="E100" t="s">
        <v>47</v>
      </c>
    </row>
    <row r="101" spans="1:5">
      <c r="A101" s="5">
        <v>46063</v>
      </c>
      <c r="B101" t="s">
        <v>24</v>
      </c>
      <c r="C101" s="2">
        <v>89.45</v>
      </c>
      <c r="D101" s="2" t="s">
        <v>259</v>
      </c>
      <c r="E101" t="s">
        <v>47</v>
      </c>
    </row>
    <row r="102" spans="1:5">
      <c r="A102" s="5">
        <v>46064</v>
      </c>
      <c r="B102" t="s">
        <v>206</v>
      </c>
      <c r="C102" s="2">
        <v>10.72</v>
      </c>
      <c r="D102" s="2" t="s">
        <v>258</v>
      </c>
      <c r="E102" t="s">
        <v>47</v>
      </c>
    </row>
    <row r="103" spans="1:5">
      <c r="A103" s="5">
        <v>46064</v>
      </c>
      <c r="B103" t="s">
        <v>206</v>
      </c>
      <c r="C103" s="2">
        <v>19.940000000000001</v>
      </c>
      <c r="D103" s="2" t="s">
        <v>258</v>
      </c>
      <c r="E103" t="s">
        <v>47</v>
      </c>
    </row>
    <row r="104" spans="1:5">
      <c r="A104" s="5">
        <v>46065</v>
      </c>
      <c r="B104" t="s">
        <v>27</v>
      </c>
      <c r="C104" s="2">
        <v>8.59</v>
      </c>
      <c r="D104" s="2" t="s">
        <v>260</v>
      </c>
      <c r="E104" t="s">
        <v>47</v>
      </c>
    </row>
    <row r="105" spans="1:5">
      <c r="A105" s="5">
        <v>46065</v>
      </c>
      <c r="B105" t="s">
        <v>206</v>
      </c>
      <c r="C105" s="2">
        <v>13.52</v>
      </c>
      <c r="D105" s="2" t="s">
        <v>258</v>
      </c>
      <c r="E105" t="s">
        <v>47</v>
      </c>
    </row>
    <row r="106" spans="1:5">
      <c r="A106" s="5">
        <v>46068</v>
      </c>
      <c r="B106" t="s">
        <v>25</v>
      </c>
      <c r="C106" s="2">
        <v>8.06</v>
      </c>
      <c r="D106" s="2" t="s">
        <v>261</v>
      </c>
      <c r="E106" t="s">
        <v>47</v>
      </c>
    </row>
    <row r="107" spans="1:5">
      <c r="A107" s="5">
        <v>46070</v>
      </c>
      <c r="B107" t="s">
        <v>27</v>
      </c>
      <c r="C107" s="2">
        <v>13.91</v>
      </c>
      <c r="D107" s="2" t="s">
        <v>262</v>
      </c>
      <c r="E107" t="s">
        <v>47</v>
      </c>
    </row>
    <row r="108" spans="1:5">
      <c r="A108" s="5">
        <v>46070</v>
      </c>
      <c r="B108" t="s">
        <v>21</v>
      </c>
      <c r="C108" s="2">
        <v>61.16</v>
      </c>
      <c r="D108" s="2" t="s">
        <v>263</v>
      </c>
      <c r="E108" t="s">
        <v>47</v>
      </c>
    </row>
    <row r="109" spans="1:5">
      <c r="A109" s="5">
        <v>46070</v>
      </c>
      <c r="B109" t="s">
        <v>208</v>
      </c>
      <c r="C109" s="2">
        <v>4.34</v>
      </c>
      <c r="D109" s="2" t="s">
        <v>264</v>
      </c>
      <c r="E109" t="s">
        <v>47</v>
      </c>
    </row>
    <row r="110" spans="1:5">
      <c r="A110" s="5">
        <v>46073</v>
      </c>
      <c r="B110" t="s">
        <v>27</v>
      </c>
      <c r="C110" s="2">
        <v>2.99</v>
      </c>
      <c r="D110" s="2" t="s">
        <v>265</v>
      </c>
      <c r="E110" t="s">
        <v>47</v>
      </c>
    </row>
    <row r="111" spans="1:5">
      <c r="A111" s="5">
        <v>46074</v>
      </c>
      <c r="B111" t="s">
        <v>27</v>
      </c>
      <c r="C111" s="2">
        <v>21.51</v>
      </c>
      <c r="D111" s="2" t="s">
        <v>266</v>
      </c>
      <c r="E111" t="s">
        <v>47</v>
      </c>
    </row>
    <row r="112" spans="1:5">
      <c r="A112" s="5">
        <v>46075</v>
      </c>
      <c r="B112" t="s">
        <v>27</v>
      </c>
      <c r="C112" s="2">
        <v>16.11</v>
      </c>
      <c r="D112" s="5" t="s">
        <v>267</v>
      </c>
      <c r="E112" t="s">
        <v>47</v>
      </c>
    </row>
    <row r="113" spans="1:5">
      <c r="A113" s="5">
        <v>46076</v>
      </c>
      <c r="B113" t="s">
        <v>23</v>
      </c>
      <c r="C113" s="2">
        <v>41.15</v>
      </c>
      <c r="D113" s="2" t="s">
        <v>268</v>
      </c>
      <c r="E113" t="s">
        <v>47</v>
      </c>
    </row>
    <row r="114" spans="1:5">
      <c r="A114" s="5">
        <v>46076</v>
      </c>
      <c r="B114" t="s">
        <v>12</v>
      </c>
      <c r="C114" s="2">
        <v>20.059999999999999</v>
      </c>
      <c r="D114" s="2" t="s">
        <v>269</v>
      </c>
      <c r="E114" t="s">
        <v>47</v>
      </c>
    </row>
    <row r="115" spans="1:5">
      <c r="A115" s="5">
        <v>46076</v>
      </c>
      <c r="B115" t="s">
        <v>26</v>
      </c>
      <c r="C115" s="2">
        <v>46.14</v>
      </c>
      <c r="D115" s="2" t="s">
        <v>270</v>
      </c>
      <c r="E115" t="s">
        <v>47</v>
      </c>
    </row>
    <row r="116" spans="1:5">
      <c r="A116" s="5">
        <v>46073</v>
      </c>
      <c r="B116" t="s">
        <v>208</v>
      </c>
      <c r="C116" s="2">
        <v>10</v>
      </c>
      <c r="D116" s="2" t="s">
        <v>271</v>
      </c>
      <c r="E116" t="s">
        <v>249</v>
      </c>
    </row>
    <row r="117" spans="1:5">
      <c r="A117" s="5">
        <v>46073</v>
      </c>
      <c r="B117" t="s">
        <v>208</v>
      </c>
      <c r="C117" s="2">
        <v>54.06</v>
      </c>
      <c r="D117" s="2" t="s">
        <v>271</v>
      </c>
      <c r="E117" t="s">
        <v>249</v>
      </c>
    </row>
    <row r="118" spans="1:5">
      <c r="A118" s="5">
        <v>46074</v>
      </c>
      <c r="B118" t="s">
        <v>20</v>
      </c>
      <c r="C118" s="2">
        <v>39.99</v>
      </c>
      <c r="E118" t="s">
        <v>249</v>
      </c>
    </row>
    <row r="119" spans="1:5">
      <c r="A119" s="5">
        <v>46074</v>
      </c>
      <c r="B119" t="s">
        <v>14</v>
      </c>
      <c r="C119" s="2">
        <v>40</v>
      </c>
      <c r="D119" s="2" t="s">
        <v>272</v>
      </c>
      <c r="E119" t="s">
        <v>249</v>
      </c>
    </row>
    <row r="120" spans="1:5">
      <c r="A120" s="5">
        <v>46074</v>
      </c>
      <c r="B120" t="s">
        <v>21</v>
      </c>
      <c r="C120" s="2">
        <f>90.99-C119</f>
        <v>50.989999999999995</v>
      </c>
      <c r="E120" t="s">
        <v>249</v>
      </c>
    </row>
    <row r="121" spans="1:5">
      <c r="A121" s="5">
        <v>46079</v>
      </c>
      <c r="B121" t="s">
        <v>183</v>
      </c>
      <c r="C121" s="2">
        <v>39.090000000000003</v>
      </c>
      <c r="E121" t="s">
        <v>249</v>
      </c>
    </row>
    <row r="122" spans="1:5">
      <c r="A122" s="5">
        <v>46079</v>
      </c>
      <c r="B122" t="s">
        <v>20</v>
      </c>
      <c r="C122" s="2">
        <v>37.590000000000003</v>
      </c>
      <c r="E122" t="s">
        <v>249</v>
      </c>
    </row>
    <row r="123" spans="1:5">
      <c r="A123" s="5">
        <v>46079</v>
      </c>
      <c r="B123" t="s">
        <v>183</v>
      </c>
      <c r="C123" s="2">
        <v>82.38</v>
      </c>
      <c r="E123" t="s">
        <v>249</v>
      </c>
    </row>
    <row r="124" spans="1:5">
      <c r="A124" s="5">
        <v>46080</v>
      </c>
      <c r="B124" t="s">
        <v>26</v>
      </c>
      <c r="C124" s="2">
        <v>10</v>
      </c>
      <c r="E124" t="s">
        <v>249</v>
      </c>
    </row>
    <row r="125" spans="1:5">
      <c r="A125" s="5">
        <v>46080</v>
      </c>
      <c r="B125" t="s">
        <v>26</v>
      </c>
      <c r="C125" s="2">
        <v>1.5</v>
      </c>
      <c r="E125" t="s">
        <v>249</v>
      </c>
    </row>
    <row r="126" spans="1:5">
      <c r="A126" s="5">
        <v>46080</v>
      </c>
      <c r="B126" t="s">
        <v>21</v>
      </c>
      <c r="C126" s="2">
        <v>81.56</v>
      </c>
      <c r="E126" t="s">
        <v>249</v>
      </c>
    </row>
    <row r="127" spans="1:5">
      <c r="A127" s="5">
        <v>46081</v>
      </c>
      <c r="B127" t="s">
        <v>183</v>
      </c>
      <c r="C127" s="2">
        <v>40.78</v>
      </c>
      <c r="E127" t="s">
        <v>249</v>
      </c>
    </row>
    <row r="128" spans="1:5">
      <c r="A128" s="5">
        <v>46076</v>
      </c>
      <c r="B128" t="s">
        <v>199</v>
      </c>
      <c r="C128" s="2">
        <v>500</v>
      </c>
    </row>
    <row r="129" spans="1:3">
      <c r="A129" s="5">
        <v>46084</v>
      </c>
      <c r="B129" t="s">
        <v>201</v>
      </c>
      <c r="C129" s="2">
        <v>27</v>
      </c>
    </row>
  </sheetData>
  <dataValidations count="3">
    <dataValidation type="list" allowBlank="1" showInputMessage="1" showErrorMessage="1" sqref="B31:B1048576" xr:uid="{25BC1CF0-D338-4C13-808D-ABB611CC433C}">
      <formula1>$AJ$4:$AJ$33</formula1>
    </dataValidation>
    <dataValidation allowBlank="1" showInputMessage="1" showErrorMessage="1" sqref="D31:D111 D113:D1048576" xr:uid="{27BC7B7F-6259-45CE-B924-EADC2FCEC961}"/>
    <dataValidation type="list" allowBlank="1" showInputMessage="1" showErrorMessage="1" sqref="E31:E1048576" xr:uid="{6C21A43D-A2D3-4053-BFF2-19C510680EED}">
      <formula1>"Chase, Amex, Costco, Sofi, SchoolsFirst"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FA1C-616D-48CC-8AED-B4F85818D61D}">
  <dimension ref="A1:AJ131"/>
  <sheetViews>
    <sheetView topLeftCell="E92" workbookViewId="0">
      <selection activeCell="D19" sqref="D19"/>
    </sheetView>
  </sheetViews>
  <sheetFormatPr defaultRowHeight="15"/>
  <cols>
    <col min="1" max="1" width="29.140625" style="5" bestFit="1" customWidth="1"/>
    <col min="2" max="2" width="26.140625" bestFit="1" customWidth="1"/>
    <col min="3" max="3" width="24.7109375" style="2" customWidth="1"/>
    <col min="4" max="4" width="27.85546875" style="2" customWidth="1"/>
    <col min="5" max="5" width="66.28515625" bestFit="1" customWidth="1"/>
    <col min="6" max="6" width="33.42578125" customWidth="1"/>
    <col min="7" max="7" width="34.42578125" bestFit="1" customWidth="1"/>
    <col min="8" max="8" width="18.5703125" customWidth="1"/>
    <col min="9" max="9" width="35" bestFit="1" customWidth="1"/>
    <col min="10" max="10" width="42.42578125" customWidth="1"/>
    <col min="11" max="11" width="25.85546875" customWidth="1"/>
    <col min="12" max="12" width="33.42578125" customWidth="1"/>
    <col min="13" max="13" width="34.42578125" bestFit="1" customWidth="1"/>
  </cols>
  <sheetData>
    <row r="1" spans="1:36" ht="24.75">
      <c r="A1" s="14" t="s">
        <v>0</v>
      </c>
      <c r="B1" s="14" t="s">
        <v>190</v>
      </c>
      <c r="C1" s="14" t="s">
        <v>35</v>
      </c>
      <c r="D1"/>
      <c r="E1" s="9" t="s">
        <v>3</v>
      </c>
      <c r="F1" s="9" t="s">
        <v>4</v>
      </c>
      <c r="G1" s="9" t="s">
        <v>5</v>
      </c>
      <c r="H1" s="6" t="s">
        <v>191</v>
      </c>
      <c r="I1" s="2"/>
      <c r="J1" s="6" t="s">
        <v>6</v>
      </c>
      <c r="K1" s="6" t="s">
        <v>4</v>
      </c>
      <c r="L1" s="6" t="s">
        <v>5</v>
      </c>
      <c r="M1" s="6" t="s">
        <v>191</v>
      </c>
    </row>
    <row r="2" spans="1:36">
      <c r="A2" s="3">
        <f>SUM(A6:C6)</f>
        <v>8192.0300000000007</v>
      </c>
      <c r="B2" s="3">
        <f>SUM(C31:C1048576)</f>
        <v>7817.3399999999992</v>
      </c>
      <c r="C2" s="3">
        <f>SUM(F13,K21)</f>
        <v>8192.5829999999987</v>
      </c>
      <c r="D2"/>
      <c r="E2" s="10" t="s">
        <v>7</v>
      </c>
      <c r="F2" s="11">
        <v>70</v>
      </c>
      <c r="G2" s="11">
        <f>SUMIF($B$31:$B$1048576,"Bridge",$C$31:$C$1048576)</f>
        <v>70</v>
      </c>
      <c r="H2" s="13">
        <f>F2-G2</f>
        <v>0</v>
      </c>
      <c r="I2" s="2"/>
      <c r="J2" s="12" t="s">
        <v>8</v>
      </c>
      <c r="K2" s="13">
        <v>40</v>
      </c>
      <c r="L2" s="13">
        <f>SUMIF($B$31:$B$1048576,"Car Upkeep",$C$31:$C$1048576)</f>
        <v>0</v>
      </c>
      <c r="M2" s="13">
        <f>K2-L2</f>
        <v>40</v>
      </c>
    </row>
    <row r="3" spans="1:36">
      <c r="A3"/>
      <c r="C3"/>
      <c r="D3"/>
      <c r="E3" s="10" t="s">
        <v>192</v>
      </c>
      <c r="F3" s="11">
        <v>557.25</v>
      </c>
      <c r="G3" s="11">
        <f>SUMIF($B$31:$B$1048576,"4Runner payment",$C$31:$C$1048576)</f>
        <v>557.25</v>
      </c>
      <c r="H3" s="13">
        <f t="shared" ref="H3:H17" si="0">F3-G3</f>
        <v>0</v>
      </c>
      <c r="I3" s="2"/>
      <c r="J3" s="12" t="s">
        <v>10</v>
      </c>
      <c r="K3" s="13">
        <v>100</v>
      </c>
      <c r="L3" s="13">
        <f>SUMIF($B$31:$B$1048576,"Date/Fun Money",$C$31:$C$1048576)</f>
        <v>162.82999999999998</v>
      </c>
      <c r="M3" s="13">
        <f t="shared" ref="M3:M17" si="1">K3-L3</f>
        <v>-62.829999999999984</v>
      </c>
    </row>
    <row r="4" spans="1:36">
      <c r="A4"/>
      <c r="C4"/>
      <c r="D4"/>
      <c r="E4" s="10" t="s">
        <v>11</v>
      </c>
      <c r="F4" s="11">
        <v>35</v>
      </c>
      <c r="G4" s="11">
        <f>SUMIF($B$31:$B$1048576,"Car Wash",$C$31:$C$1048576)</f>
        <v>0</v>
      </c>
      <c r="H4" s="13">
        <f t="shared" si="0"/>
        <v>35</v>
      </c>
      <c r="I4" s="2"/>
      <c r="J4" s="12" t="s">
        <v>12</v>
      </c>
      <c r="K4" s="13">
        <v>50</v>
      </c>
      <c r="L4" s="13">
        <f>SUMIF($B$31:$B$1048576,"Dining Out",$C$31:$C$1048576)</f>
        <v>69.37</v>
      </c>
      <c r="M4" s="13">
        <f t="shared" si="1"/>
        <v>-19.370000000000005</v>
      </c>
      <c r="AJ4" s="10" t="s">
        <v>7</v>
      </c>
    </row>
    <row r="5" spans="1:36" ht="24.75">
      <c r="A5" s="14" t="s">
        <v>193</v>
      </c>
      <c r="B5" s="14" t="s">
        <v>194</v>
      </c>
      <c r="C5" s="14" t="s">
        <v>195</v>
      </c>
      <c r="D5"/>
      <c r="E5" s="10" t="s">
        <v>36</v>
      </c>
      <c r="F5" s="11">
        <v>2517.69</v>
      </c>
      <c r="G5" s="11">
        <f>SUMIF($B$31:$B$1048576,"Mortgage",$C$31:$C$1048576)</f>
        <v>2504.37</v>
      </c>
      <c r="H5" s="13">
        <f t="shared" si="0"/>
        <v>13.320000000000164</v>
      </c>
      <c r="I5" s="2"/>
      <c r="J5" s="12" t="s">
        <v>14</v>
      </c>
      <c r="K5" s="13">
        <v>75</v>
      </c>
      <c r="L5" s="13">
        <f>SUMIF($B$31:$B$1048576,"Dogs",$C$31:$C$1048576)</f>
        <v>71</v>
      </c>
      <c r="M5" s="13">
        <f t="shared" si="1"/>
        <v>4</v>
      </c>
      <c r="AJ5" s="10" t="s">
        <v>192</v>
      </c>
    </row>
    <row r="6" spans="1:36">
      <c r="A6" s="3">
        <v>4386.3100000000004</v>
      </c>
      <c r="B6" s="3">
        <v>1910.52</v>
      </c>
      <c r="C6" s="3">
        <v>1895.2</v>
      </c>
      <c r="E6" s="10" t="s">
        <v>15</v>
      </c>
      <c r="F6" s="11">
        <v>200</v>
      </c>
      <c r="G6" s="11">
        <f>SUMIF($B$31:$B$1048576,"Utilities",$C$31:$C$1048576)</f>
        <v>189.01999999999998</v>
      </c>
      <c r="H6" s="13">
        <f t="shared" si="0"/>
        <v>10.980000000000018</v>
      </c>
      <c r="I6" s="2"/>
      <c r="J6" s="12" t="s">
        <v>196</v>
      </c>
      <c r="K6" s="13">
        <v>290</v>
      </c>
      <c r="L6" s="13">
        <f>SUMIF($B$31:$B$1048576,"House Savings",$C$31:$C$1048576)</f>
        <v>0</v>
      </c>
      <c r="M6" s="13">
        <f t="shared" si="1"/>
        <v>290</v>
      </c>
      <c r="AJ6" s="10" t="s">
        <v>11</v>
      </c>
    </row>
    <row r="7" spans="1:36">
      <c r="A7"/>
      <c r="C7"/>
      <c r="D7"/>
      <c r="E7" s="10" t="s">
        <v>17</v>
      </c>
      <c r="F7" s="11">
        <v>75</v>
      </c>
      <c r="G7" s="11">
        <f>SUMIF($B$31:$B$1048576,"Wifi",$C$31:$C$1048576)</f>
        <v>75</v>
      </c>
      <c r="H7" s="13">
        <f t="shared" si="0"/>
        <v>0</v>
      </c>
      <c r="I7" s="2"/>
      <c r="J7" s="12" t="s">
        <v>18</v>
      </c>
      <c r="K7" s="13">
        <v>417</v>
      </c>
      <c r="L7" s="13">
        <f>SUMIF($B$31:$B$1048576,"Extra Car Payment",$C$31:$C$1048576)</f>
        <v>0</v>
      </c>
      <c r="M7" s="13">
        <f t="shared" si="1"/>
        <v>417</v>
      </c>
      <c r="AJ7" s="10" t="s">
        <v>36</v>
      </c>
    </row>
    <row r="8" spans="1:36">
      <c r="A8" s="3" t="s">
        <v>36</v>
      </c>
      <c r="B8" s="3" t="s">
        <v>197</v>
      </c>
      <c r="C8" s="3" t="s">
        <v>198</v>
      </c>
      <c r="D8"/>
      <c r="E8" s="10" t="s">
        <v>19</v>
      </c>
      <c r="F8" s="11">
        <f>A2*0.1</f>
        <v>819.20300000000009</v>
      </c>
      <c r="G8" s="11">
        <f>F8</f>
        <v>819.20300000000009</v>
      </c>
      <c r="H8" s="13">
        <f t="shared" si="0"/>
        <v>0</v>
      </c>
      <c r="I8" s="2"/>
      <c r="J8" s="12" t="s">
        <v>20</v>
      </c>
      <c r="K8" s="13">
        <v>200</v>
      </c>
      <c r="L8" s="13">
        <f>SUMIF($B$31:$B$1048576,"Gas",$C$31:$C$1048576)</f>
        <v>276.48</v>
      </c>
      <c r="M8" s="13">
        <f t="shared" si="1"/>
        <v>-76.480000000000018</v>
      </c>
      <c r="AJ8" s="10" t="s">
        <v>15</v>
      </c>
    </row>
    <row r="9" spans="1:36">
      <c r="A9" s="3" t="s">
        <v>15</v>
      </c>
      <c r="B9" s="3" t="s">
        <v>19</v>
      </c>
      <c r="C9" s="3" t="s">
        <v>8</v>
      </c>
      <c r="D9"/>
      <c r="E9" s="10" t="s">
        <v>199</v>
      </c>
      <c r="F9" s="11">
        <v>500</v>
      </c>
      <c r="G9" s="11">
        <f>SUMIF($B$31:$B$1048576,"Nanny",$C$31:$C$1048576)</f>
        <v>600</v>
      </c>
      <c r="H9" s="13">
        <f t="shared" si="0"/>
        <v>-100</v>
      </c>
      <c r="I9" s="2"/>
      <c r="J9" s="12" t="s">
        <v>21</v>
      </c>
      <c r="K9" s="13">
        <v>450</v>
      </c>
      <c r="L9" s="13">
        <f>SUMIF($B$31:$B$1048576,"Groceries",$C$31:$C$1048576)</f>
        <v>684.58999999999992</v>
      </c>
      <c r="M9" s="13">
        <f t="shared" si="1"/>
        <v>-234.58999999999992</v>
      </c>
      <c r="AJ9" s="10" t="s">
        <v>17</v>
      </c>
    </row>
    <row r="10" spans="1:36">
      <c r="A10" s="3" t="s">
        <v>17</v>
      </c>
      <c r="B10" s="3" t="s">
        <v>10</v>
      </c>
      <c r="C10" s="3" t="s">
        <v>16</v>
      </c>
      <c r="D10"/>
      <c r="E10" s="10" t="s">
        <v>200</v>
      </c>
      <c r="F10" s="11">
        <v>134.44</v>
      </c>
      <c r="G10" s="11">
        <f>SUMIF($B$31:$B$1048576,"Car Insurance",$C$31:$C$1048576)</f>
        <v>134.44</v>
      </c>
      <c r="H10" s="13">
        <f t="shared" si="0"/>
        <v>0</v>
      </c>
      <c r="I10" s="2"/>
      <c r="J10" s="12" t="s">
        <v>23</v>
      </c>
      <c r="K10" s="13">
        <v>60</v>
      </c>
      <c r="L10" s="13">
        <f>SUMIF($B$31:$B$1048576,"Household Items",$C$31:$C$1048576)</f>
        <v>157.45999999999998</v>
      </c>
      <c r="M10" s="13">
        <f t="shared" si="1"/>
        <v>-97.45999999999998</v>
      </c>
      <c r="AJ10" s="10" t="s">
        <v>19</v>
      </c>
    </row>
    <row r="11" spans="1:36">
      <c r="A11" s="3" t="s">
        <v>21</v>
      </c>
      <c r="B11" s="3" t="s">
        <v>12</v>
      </c>
      <c r="C11" s="3" t="s">
        <v>18</v>
      </c>
      <c r="D11"/>
      <c r="E11" s="10" t="s">
        <v>201</v>
      </c>
      <c r="F11" s="11">
        <v>27</v>
      </c>
      <c r="G11" s="11">
        <f>SUMIF($B$31:$B$1048576,"Home Insurance",$C$31:$C$1048576)</f>
        <v>27</v>
      </c>
      <c r="H11" s="13">
        <f t="shared" si="0"/>
        <v>0</v>
      </c>
      <c r="I11" s="2"/>
      <c r="J11" s="12" t="s">
        <v>24</v>
      </c>
      <c r="K11" s="13">
        <v>200</v>
      </c>
      <c r="L11" s="13">
        <f>SUMIF($B$31:$B$1048576,"Shopping",$C$31:$C$1048576)</f>
        <v>408.41</v>
      </c>
      <c r="M11" s="13">
        <f t="shared" si="1"/>
        <v>-208.41000000000003</v>
      </c>
      <c r="AJ11" s="10" t="s">
        <v>199</v>
      </c>
    </row>
    <row r="12" spans="1:36">
      <c r="A12" s="3" t="s">
        <v>202</v>
      </c>
      <c r="B12" s="3" t="s">
        <v>14</v>
      </c>
      <c r="C12" s="3" t="s">
        <v>23</v>
      </c>
      <c r="D12"/>
      <c r="E12" s="2"/>
      <c r="F12" s="2"/>
      <c r="G12" s="2"/>
      <c r="H12" s="2"/>
      <c r="I12" s="2"/>
      <c r="J12" s="12" t="s">
        <v>25</v>
      </c>
      <c r="K12" s="13">
        <v>260</v>
      </c>
      <c r="L12" s="13">
        <f>SUMIF($B$31:$B$1048576,"Student Loans",$C$31:$C$1048576)</f>
        <v>17.189999999999998</v>
      </c>
      <c r="M12" s="13">
        <f t="shared" si="1"/>
        <v>242.81</v>
      </c>
      <c r="AJ12" s="10" t="s">
        <v>200</v>
      </c>
    </row>
    <row r="13" spans="1:36" ht="24.75">
      <c r="A13" s="3" t="s">
        <v>183</v>
      </c>
      <c r="B13" s="3" t="s">
        <v>20</v>
      </c>
      <c r="C13" s="3" t="s">
        <v>25</v>
      </c>
      <c r="D13"/>
      <c r="E13" s="9" t="s">
        <v>203</v>
      </c>
      <c r="F13" s="11">
        <f>SUM(F2:F11)</f>
        <v>4935.5829999999996</v>
      </c>
      <c r="G13" s="2"/>
      <c r="H13" s="2"/>
      <c r="I13" s="2"/>
      <c r="J13" s="12" t="s">
        <v>26</v>
      </c>
      <c r="K13" s="13">
        <v>500</v>
      </c>
      <c r="L13" s="13">
        <f>SUMIF($B$31:$B$1048576,"Travel",$C$31:$C$1048576)</f>
        <v>189.78</v>
      </c>
      <c r="M13" s="13">
        <f t="shared" si="1"/>
        <v>310.22000000000003</v>
      </c>
      <c r="AJ13" s="10" t="s">
        <v>201</v>
      </c>
    </row>
    <row r="14" spans="1:36">
      <c r="A14" s="3"/>
      <c r="B14" s="3" t="s">
        <v>24</v>
      </c>
      <c r="C14" s="3" t="s">
        <v>182</v>
      </c>
      <c r="D14"/>
      <c r="G14" s="2"/>
      <c r="H14" s="2"/>
      <c r="I14" s="2"/>
      <c r="J14" s="12" t="s">
        <v>27</v>
      </c>
      <c r="K14" s="13">
        <v>163</v>
      </c>
      <c r="L14" s="13">
        <f>SUMIF($B$31:$B$1048576,"Variables",$C$31:$C$1048576)</f>
        <v>291.20999999999998</v>
      </c>
      <c r="M14" s="13">
        <f t="shared" si="1"/>
        <v>-128.20999999999998</v>
      </c>
      <c r="AJ14" s="12" t="s">
        <v>8</v>
      </c>
    </row>
    <row r="15" spans="1:36" ht="13.5" customHeight="1">
      <c r="A15" s="3"/>
      <c r="B15" s="3" t="s">
        <v>27</v>
      </c>
      <c r="C15" s="3" t="s">
        <v>204</v>
      </c>
      <c r="D15" s="4"/>
      <c r="E15" s="2"/>
      <c r="F15" s="2"/>
      <c r="G15" s="2"/>
      <c r="H15" s="2"/>
      <c r="I15" s="2"/>
      <c r="J15" s="12" t="s">
        <v>205</v>
      </c>
      <c r="K15" s="13">
        <v>32</v>
      </c>
      <c r="L15" s="13">
        <f>SUMIF($B$31:$B$1048576,"Gym",$C$31:$C$1048576)</f>
        <v>79.58</v>
      </c>
      <c r="M15" s="13">
        <f t="shared" si="1"/>
        <v>-47.58</v>
      </c>
      <c r="AJ15" s="12" t="s">
        <v>10</v>
      </c>
    </row>
    <row r="16" spans="1:36">
      <c r="A16" s="3"/>
      <c r="B16" s="3" t="s">
        <v>22</v>
      </c>
      <c r="C16" s="3"/>
      <c r="D16"/>
      <c r="H16" s="2"/>
      <c r="I16" s="2"/>
      <c r="J16" s="12" t="s">
        <v>183</v>
      </c>
      <c r="K16" s="13">
        <v>150</v>
      </c>
      <c r="L16" s="13">
        <f>SUMIF($B$31:$B$1048576,"Hadlee",$C$31:$C$1048576)</f>
        <v>124.6</v>
      </c>
      <c r="M16" s="13">
        <f t="shared" si="1"/>
        <v>25.400000000000006</v>
      </c>
      <c r="AJ16" s="12" t="s">
        <v>12</v>
      </c>
    </row>
    <row r="17" spans="1:36">
      <c r="A17"/>
      <c r="C17"/>
      <c r="D17"/>
      <c r="H17" s="2"/>
      <c r="I17" s="2"/>
      <c r="J17" s="12" t="s">
        <v>206</v>
      </c>
      <c r="K17" s="13">
        <v>120</v>
      </c>
      <c r="L17" s="13">
        <f>SUMIF($B$31:$B$1048576,"Gift Money",$C$31:$C$1048576)</f>
        <v>72.89</v>
      </c>
      <c r="M17" s="13">
        <f t="shared" si="1"/>
        <v>47.11</v>
      </c>
      <c r="AJ17" s="12" t="s">
        <v>14</v>
      </c>
    </row>
    <row r="18" spans="1:36">
      <c r="A18"/>
      <c r="C18"/>
      <c r="D18"/>
      <c r="H18" s="2"/>
      <c r="I18" s="2"/>
      <c r="J18" s="12" t="s">
        <v>207</v>
      </c>
      <c r="K18" s="13">
        <v>150</v>
      </c>
      <c r="L18" s="13">
        <f>SUMIF($B$31:$B$1048576,"Mikelle shot",$C$31:$C$1048576)</f>
        <v>0</v>
      </c>
      <c r="M18" s="13">
        <f>K18-L18</f>
        <v>150</v>
      </c>
      <c r="AJ18" s="12" t="s">
        <v>196</v>
      </c>
    </row>
    <row r="19" spans="1:36">
      <c r="A19"/>
      <c r="C19"/>
      <c r="D19"/>
      <c r="E19" s="2"/>
      <c r="H19" s="2"/>
      <c r="I19" s="2"/>
      <c r="J19" s="12" t="s">
        <v>208</v>
      </c>
      <c r="K19" s="13">
        <v>0</v>
      </c>
      <c r="L19" s="13">
        <f>SUMIF($B$31:$B$1048576,"Emergency",$C$31:$C$1048576)</f>
        <v>1054.8699999999999</v>
      </c>
      <c r="M19" s="13">
        <f>K19-L19</f>
        <v>-1054.8699999999999</v>
      </c>
      <c r="AJ19" s="12"/>
    </row>
    <row r="20" spans="1:36">
      <c r="A20"/>
      <c r="C20"/>
      <c r="D20"/>
      <c r="H20" s="2"/>
      <c r="I20" s="2"/>
      <c r="J20" s="2"/>
      <c r="K20" s="2"/>
      <c r="L20" s="2"/>
      <c r="M20" s="2"/>
      <c r="AJ20" s="12"/>
    </row>
    <row r="21" spans="1:36" ht="24.75">
      <c r="A21" s="2"/>
      <c r="C21"/>
      <c r="D21"/>
      <c r="H21" s="2"/>
      <c r="I21" s="2"/>
      <c r="J21" s="6" t="s">
        <v>203</v>
      </c>
      <c r="K21" s="13">
        <f>SUM(K2:K18)</f>
        <v>3257</v>
      </c>
      <c r="L21" s="2"/>
      <c r="M21" s="2"/>
      <c r="AJ21" s="12" t="s">
        <v>18</v>
      </c>
    </row>
    <row r="22" spans="1:36">
      <c r="A22"/>
      <c r="C22"/>
      <c r="D22"/>
      <c r="H22" s="2"/>
      <c r="I22" s="2"/>
      <c r="J22" s="2"/>
      <c r="K22" s="2"/>
      <c r="L22" s="2"/>
      <c r="M22" s="2"/>
      <c r="AJ22" s="12" t="s">
        <v>20</v>
      </c>
    </row>
    <row r="23" spans="1:36">
      <c r="A23"/>
      <c r="C23"/>
      <c r="D23"/>
      <c r="H23" s="2"/>
      <c r="I23" s="2"/>
      <c r="J23" s="2"/>
      <c r="K23" s="2"/>
      <c r="L23" s="2"/>
      <c r="M23" s="2"/>
      <c r="AJ23" s="12" t="s">
        <v>21</v>
      </c>
    </row>
    <row r="24" spans="1:36">
      <c r="A24"/>
      <c r="C24"/>
      <c r="D24"/>
      <c r="H24" s="2"/>
      <c r="I24" s="2"/>
      <c r="J24" s="2"/>
      <c r="K24" s="2"/>
      <c r="L24" s="2"/>
      <c r="M24" s="2"/>
      <c r="AJ24" s="12" t="s">
        <v>23</v>
      </c>
    </row>
    <row r="25" spans="1:36">
      <c r="A25"/>
      <c r="C25"/>
      <c r="D25"/>
      <c r="E25" s="26"/>
      <c r="F25" s="2"/>
      <c r="H25" s="2"/>
      <c r="I25" s="2"/>
      <c r="L25" s="2"/>
      <c r="M25" s="2"/>
      <c r="AJ25" s="12" t="s">
        <v>24</v>
      </c>
    </row>
    <row r="26" spans="1:36">
      <c r="A26"/>
      <c r="C26"/>
      <c r="D26"/>
      <c r="K26" s="2"/>
      <c r="AJ26" s="12" t="s">
        <v>25</v>
      </c>
    </row>
    <row r="27" spans="1:36">
      <c r="A27"/>
      <c r="C27"/>
      <c r="D27"/>
      <c r="AJ27" s="12" t="s">
        <v>26</v>
      </c>
    </row>
    <row r="28" spans="1:36" ht="24.75">
      <c r="A28" s="14" t="s">
        <v>30</v>
      </c>
      <c r="C28"/>
      <c r="D28"/>
      <c r="E28" s="26"/>
      <c r="F28" s="2"/>
      <c r="AJ28" s="12" t="s">
        <v>27</v>
      </c>
    </row>
    <row r="29" spans="1:36">
      <c r="A29"/>
      <c r="C29"/>
      <c r="D29"/>
      <c r="AJ29" s="12" t="s">
        <v>205</v>
      </c>
    </row>
    <row r="30" spans="1:36" ht="24.75">
      <c r="A30" s="8" t="s">
        <v>31</v>
      </c>
      <c r="B30" s="8" t="s">
        <v>32</v>
      </c>
      <c r="C30" s="8" t="s">
        <v>33</v>
      </c>
      <c r="D30" s="8" t="s">
        <v>209</v>
      </c>
      <c r="E30" s="8" t="s">
        <v>210</v>
      </c>
      <c r="F30" s="2"/>
      <c r="AJ30" s="12" t="s">
        <v>183</v>
      </c>
    </row>
    <row r="31" spans="1:36">
      <c r="A31" s="5">
        <v>46082</v>
      </c>
      <c r="B31" t="s">
        <v>12</v>
      </c>
      <c r="C31" s="2">
        <v>36.31</v>
      </c>
      <c r="D31" s="2" t="s">
        <v>273</v>
      </c>
      <c r="E31" t="s">
        <v>235</v>
      </c>
      <c r="F31" t="s">
        <v>274</v>
      </c>
      <c r="AJ31" s="12" t="s">
        <v>206</v>
      </c>
    </row>
    <row r="32" spans="1:36">
      <c r="A32" s="5">
        <v>46082</v>
      </c>
      <c r="B32" t="s">
        <v>21</v>
      </c>
      <c r="C32" s="2">
        <v>4.1100000000000003</v>
      </c>
      <c r="D32" s="2" t="s">
        <v>275</v>
      </c>
      <c r="E32" t="s">
        <v>235</v>
      </c>
      <c r="F32" t="s">
        <v>274</v>
      </c>
      <c r="AJ32" s="12" t="s">
        <v>208</v>
      </c>
    </row>
    <row r="33" spans="1:36">
      <c r="A33" s="5">
        <v>46083</v>
      </c>
      <c r="B33" t="s">
        <v>26</v>
      </c>
      <c r="C33" s="2">
        <v>5.6</v>
      </c>
      <c r="D33" s="2" t="s">
        <v>276</v>
      </c>
      <c r="E33" t="s">
        <v>235</v>
      </c>
      <c r="F33" t="s">
        <v>274</v>
      </c>
      <c r="AJ33" s="12" t="s">
        <v>207</v>
      </c>
    </row>
    <row r="34" spans="1:36">
      <c r="A34" s="5">
        <v>46083</v>
      </c>
      <c r="B34" t="s">
        <v>26</v>
      </c>
      <c r="C34" s="2">
        <v>11.2</v>
      </c>
      <c r="D34" s="2" t="s">
        <v>276</v>
      </c>
      <c r="E34" t="s">
        <v>235</v>
      </c>
      <c r="F34" t="s">
        <v>274</v>
      </c>
    </row>
    <row r="35" spans="1:36">
      <c r="A35" s="5">
        <v>46083</v>
      </c>
      <c r="B35" t="s">
        <v>10</v>
      </c>
      <c r="C35" s="2">
        <v>25</v>
      </c>
      <c r="D35" s="2" t="s">
        <v>277</v>
      </c>
      <c r="E35" t="s">
        <v>235</v>
      </c>
      <c r="F35" t="s">
        <v>274</v>
      </c>
    </row>
    <row r="36" spans="1:36">
      <c r="A36" s="5">
        <v>46083</v>
      </c>
      <c r="B36" t="s">
        <v>183</v>
      </c>
      <c r="C36" s="2">
        <v>42.22</v>
      </c>
      <c r="D36" s="2" t="s">
        <v>278</v>
      </c>
      <c r="E36" t="s">
        <v>235</v>
      </c>
      <c r="F36" t="s">
        <v>274</v>
      </c>
    </row>
    <row r="37" spans="1:36">
      <c r="A37" s="5">
        <v>46082</v>
      </c>
      <c r="B37" t="s">
        <v>27</v>
      </c>
      <c r="C37" s="2">
        <v>18.43</v>
      </c>
      <c r="D37" s="2" t="s">
        <v>279</v>
      </c>
      <c r="E37" t="s">
        <v>47</v>
      </c>
      <c r="F37" t="s">
        <v>280</v>
      </c>
    </row>
    <row r="38" spans="1:36">
      <c r="A38" s="5">
        <v>46084</v>
      </c>
      <c r="B38" t="s">
        <v>23</v>
      </c>
      <c r="C38" s="2">
        <v>28.28</v>
      </c>
      <c r="D38" s="2" t="s">
        <v>281</v>
      </c>
      <c r="E38" t="s">
        <v>47</v>
      </c>
      <c r="F38" t="s">
        <v>274</v>
      </c>
      <c r="K38" s="2"/>
    </row>
    <row r="39" spans="1:36">
      <c r="A39" s="5">
        <v>46082</v>
      </c>
      <c r="B39" t="s">
        <v>21</v>
      </c>
      <c r="C39" s="2">
        <v>55.45</v>
      </c>
      <c r="D39" s="2" t="s">
        <v>282</v>
      </c>
      <c r="E39" t="s">
        <v>249</v>
      </c>
      <c r="F39" t="s">
        <v>274</v>
      </c>
    </row>
    <row r="40" spans="1:36">
      <c r="A40" s="5">
        <v>46087</v>
      </c>
      <c r="B40" t="s">
        <v>27</v>
      </c>
      <c r="C40" s="2">
        <v>38.08</v>
      </c>
      <c r="D40" s="2" t="s">
        <v>283</v>
      </c>
      <c r="E40" t="s">
        <v>47</v>
      </c>
      <c r="F40" t="s">
        <v>274</v>
      </c>
    </row>
    <row r="41" spans="1:36">
      <c r="A41" s="5">
        <v>46088</v>
      </c>
      <c r="B41" t="s">
        <v>27</v>
      </c>
      <c r="C41" s="2">
        <v>6.44</v>
      </c>
      <c r="D41" s="2" t="s">
        <v>238</v>
      </c>
      <c r="E41" t="s">
        <v>47</v>
      </c>
      <c r="F41" t="s">
        <v>274</v>
      </c>
    </row>
    <row r="42" spans="1:36">
      <c r="A42" s="5">
        <v>46090</v>
      </c>
      <c r="B42" t="s">
        <v>27</v>
      </c>
      <c r="C42" s="2">
        <v>26.85</v>
      </c>
      <c r="D42" s="2" t="s">
        <v>61</v>
      </c>
      <c r="E42" t="s">
        <v>47</v>
      </c>
      <c r="F42" t="s">
        <v>274</v>
      </c>
    </row>
    <row r="43" spans="1:36">
      <c r="A43" s="5">
        <v>46089</v>
      </c>
      <c r="B43" t="s">
        <v>21</v>
      </c>
      <c r="C43" s="2">
        <v>52.06</v>
      </c>
      <c r="D43" s="2" t="s">
        <v>284</v>
      </c>
      <c r="E43" t="s">
        <v>249</v>
      </c>
      <c r="F43" t="s">
        <v>274</v>
      </c>
    </row>
    <row r="44" spans="1:36">
      <c r="A44" s="5">
        <v>46090</v>
      </c>
      <c r="B44" t="s">
        <v>21</v>
      </c>
      <c r="C44" s="2">
        <v>113.43</v>
      </c>
      <c r="D44" s="2" t="s">
        <v>285</v>
      </c>
      <c r="E44" t="s">
        <v>249</v>
      </c>
      <c r="F44" t="s">
        <v>274</v>
      </c>
    </row>
    <row r="45" spans="1:36">
      <c r="A45" s="5">
        <v>46090</v>
      </c>
      <c r="B45" t="s">
        <v>24</v>
      </c>
      <c r="C45" s="2">
        <v>56.3</v>
      </c>
      <c r="D45" s="2" t="s">
        <v>286</v>
      </c>
      <c r="E45" t="s">
        <v>249</v>
      </c>
      <c r="F45" t="s">
        <v>274</v>
      </c>
    </row>
    <row r="46" spans="1:36">
      <c r="A46" s="5">
        <v>46090</v>
      </c>
      <c r="B46" t="s">
        <v>21</v>
      </c>
      <c r="C46" s="2">
        <v>122.84</v>
      </c>
      <c r="D46" s="2" t="s">
        <v>287</v>
      </c>
      <c r="E46" t="s">
        <v>249</v>
      </c>
      <c r="F46" t="s">
        <v>274</v>
      </c>
    </row>
    <row r="47" spans="1:36">
      <c r="A47" s="5">
        <v>46090</v>
      </c>
      <c r="B47" t="s">
        <v>14</v>
      </c>
      <c r="C47" s="2">
        <v>21</v>
      </c>
      <c r="D47" s="2" t="s">
        <v>288</v>
      </c>
      <c r="E47" t="s">
        <v>249</v>
      </c>
      <c r="F47" t="s">
        <v>274</v>
      </c>
    </row>
    <row r="48" spans="1:36" ht="29.25">
      <c r="A48" s="5">
        <v>46090</v>
      </c>
      <c r="B48" t="s">
        <v>23</v>
      </c>
      <c r="C48" s="2">
        <v>71.959999999999994</v>
      </c>
      <c r="D48" s="27" t="s">
        <v>289</v>
      </c>
      <c r="E48" t="s">
        <v>249</v>
      </c>
      <c r="F48" t="s">
        <v>274</v>
      </c>
    </row>
    <row r="49" spans="1:6">
      <c r="A49" s="5">
        <v>46090</v>
      </c>
      <c r="B49" t="s">
        <v>27</v>
      </c>
      <c r="C49" s="2">
        <v>53.99</v>
      </c>
      <c r="D49" s="2" t="s">
        <v>290</v>
      </c>
      <c r="E49" t="s">
        <v>249</v>
      </c>
      <c r="F49" t="s">
        <v>274</v>
      </c>
    </row>
    <row r="50" spans="1:6">
      <c r="A50" s="5">
        <v>46084</v>
      </c>
      <c r="B50" t="s">
        <v>21</v>
      </c>
      <c r="C50" s="2">
        <v>12.03</v>
      </c>
      <c r="D50" s="2" t="s">
        <v>291</v>
      </c>
      <c r="E50" t="s">
        <v>249</v>
      </c>
      <c r="F50" t="s">
        <v>274</v>
      </c>
    </row>
    <row r="51" spans="1:6">
      <c r="A51" s="5">
        <v>46089</v>
      </c>
      <c r="B51" t="s">
        <v>26</v>
      </c>
      <c r="C51" s="2">
        <v>36</v>
      </c>
      <c r="D51" s="2" t="s">
        <v>276</v>
      </c>
      <c r="E51" t="s">
        <v>235</v>
      </c>
      <c r="F51" t="s">
        <v>274</v>
      </c>
    </row>
    <row r="52" spans="1:6">
      <c r="A52" s="5">
        <v>46089</v>
      </c>
      <c r="B52" t="s">
        <v>26</v>
      </c>
      <c r="C52" s="2">
        <v>5.6</v>
      </c>
      <c r="D52" s="2" t="s">
        <v>276</v>
      </c>
      <c r="E52" t="s">
        <v>235</v>
      </c>
      <c r="F52" t="s">
        <v>274</v>
      </c>
    </row>
    <row r="53" spans="1:6">
      <c r="A53" s="5">
        <v>46089</v>
      </c>
      <c r="B53" t="s">
        <v>20</v>
      </c>
      <c r="C53" s="2">
        <v>53.51</v>
      </c>
      <c r="D53" s="2" t="s">
        <v>20</v>
      </c>
      <c r="E53" t="s">
        <v>235</v>
      </c>
      <c r="F53" t="s">
        <v>274</v>
      </c>
    </row>
    <row r="54" spans="1:6">
      <c r="A54" s="5">
        <v>46093</v>
      </c>
      <c r="B54" t="s">
        <v>206</v>
      </c>
      <c r="C54" s="2">
        <v>17.48</v>
      </c>
      <c r="D54" s="2" t="s">
        <v>292</v>
      </c>
      <c r="E54" t="s">
        <v>235</v>
      </c>
      <c r="F54" t="s">
        <v>274</v>
      </c>
    </row>
    <row r="55" spans="1:6">
      <c r="A55" s="5">
        <v>46093</v>
      </c>
      <c r="B55" t="s">
        <v>27</v>
      </c>
      <c r="C55" s="2">
        <v>20</v>
      </c>
      <c r="D55" s="2" t="s">
        <v>231</v>
      </c>
      <c r="E55" t="s">
        <v>235</v>
      </c>
      <c r="F55" t="s">
        <v>274</v>
      </c>
    </row>
    <row r="56" spans="1:6">
      <c r="A56" s="5">
        <v>46095</v>
      </c>
      <c r="B56" t="s">
        <v>24</v>
      </c>
      <c r="C56" s="2">
        <v>33.85</v>
      </c>
      <c r="D56" s="2" t="s">
        <v>293</v>
      </c>
      <c r="E56" t="s">
        <v>235</v>
      </c>
      <c r="F56" t="s">
        <v>274</v>
      </c>
    </row>
    <row r="57" spans="1:6">
      <c r="A57" s="5">
        <v>46096</v>
      </c>
      <c r="B57" t="s">
        <v>12</v>
      </c>
      <c r="C57" s="2">
        <v>18.149999999999999</v>
      </c>
      <c r="D57" s="2" t="s">
        <v>273</v>
      </c>
      <c r="E57" t="s">
        <v>235</v>
      </c>
      <c r="F57" t="s">
        <v>274</v>
      </c>
    </row>
    <row r="58" spans="1:6">
      <c r="A58" s="5">
        <v>46096</v>
      </c>
      <c r="B58" t="s">
        <v>27</v>
      </c>
      <c r="C58" s="2">
        <v>41.32</v>
      </c>
      <c r="D58" s="2" t="s">
        <v>116</v>
      </c>
      <c r="E58" t="s">
        <v>235</v>
      </c>
      <c r="F58" t="s">
        <v>274</v>
      </c>
    </row>
    <row r="59" spans="1:6">
      <c r="A59" s="5">
        <v>46099</v>
      </c>
      <c r="B59" t="s">
        <v>26</v>
      </c>
      <c r="C59" s="2">
        <v>131.38</v>
      </c>
      <c r="D59" s="2" t="s">
        <v>294</v>
      </c>
      <c r="E59" t="s">
        <v>235</v>
      </c>
      <c r="F59" t="s">
        <v>274</v>
      </c>
    </row>
    <row r="60" spans="1:6">
      <c r="A60" s="5">
        <v>46100</v>
      </c>
      <c r="B60" t="s">
        <v>205</v>
      </c>
      <c r="C60" s="2">
        <v>79.58</v>
      </c>
      <c r="D60" s="2" t="s">
        <v>295</v>
      </c>
      <c r="E60" t="s">
        <v>235</v>
      </c>
      <c r="F60" t="s">
        <v>274</v>
      </c>
    </row>
    <row r="61" spans="1:6">
      <c r="A61" s="5">
        <v>46108</v>
      </c>
      <c r="B61" t="s">
        <v>25</v>
      </c>
      <c r="C61" s="2">
        <v>1.06</v>
      </c>
      <c r="D61" s="2" t="s">
        <v>296</v>
      </c>
      <c r="E61" t="s">
        <v>235</v>
      </c>
      <c r="F61" t="s">
        <v>274</v>
      </c>
    </row>
    <row r="62" spans="1:6">
      <c r="A62" s="5">
        <v>46108</v>
      </c>
      <c r="B62" t="s">
        <v>10</v>
      </c>
      <c r="C62" s="2">
        <v>49.41</v>
      </c>
      <c r="D62" s="2" t="s">
        <v>297</v>
      </c>
      <c r="E62" t="s">
        <v>235</v>
      </c>
      <c r="F62" t="s">
        <v>298</v>
      </c>
    </row>
    <row r="63" spans="1:6">
      <c r="A63" s="5">
        <v>46087</v>
      </c>
      <c r="B63" t="s">
        <v>20</v>
      </c>
      <c r="C63" s="2">
        <v>46.87</v>
      </c>
      <c r="D63" s="2" t="s">
        <v>20</v>
      </c>
      <c r="E63" t="s">
        <v>43</v>
      </c>
      <c r="F63" t="s">
        <v>274</v>
      </c>
    </row>
    <row r="64" spans="1:6">
      <c r="A64" s="5">
        <v>46098</v>
      </c>
      <c r="B64" t="s">
        <v>15</v>
      </c>
      <c r="C64" s="2">
        <v>163.19</v>
      </c>
      <c r="D64" s="2" t="s">
        <v>15</v>
      </c>
      <c r="E64" t="s">
        <v>43</v>
      </c>
      <c r="F64" t="s">
        <v>274</v>
      </c>
    </row>
    <row r="65" spans="1:6">
      <c r="A65" s="5">
        <v>46101</v>
      </c>
      <c r="B65" t="s">
        <v>200</v>
      </c>
      <c r="C65" s="2">
        <v>134.44</v>
      </c>
      <c r="D65" s="2" t="s">
        <v>299</v>
      </c>
      <c r="E65" t="s">
        <v>43</v>
      </c>
      <c r="F65" t="s">
        <v>274</v>
      </c>
    </row>
    <row r="66" spans="1:6">
      <c r="A66" s="5">
        <v>46107</v>
      </c>
      <c r="B66" t="s">
        <v>15</v>
      </c>
      <c r="C66" s="2">
        <v>25.83</v>
      </c>
      <c r="D66" s="2" t="s">
        <v>15</v>
      </c>
      <c r="E66" s="15" t="s">
        <v>43</v>
      </c>
      <c r="F66" t="s">
        <v>274</v>
      </c>
    </row>
    <row r="67" spans="1:6">
      <c r="A67" s="5">
        <v>46107</v>
      </c>
      <c r="B67" t="s">
        <v>24</v>
      </c>
      <c r="C67" s="2">
        <v>25</v>
      </c>
      <c r="D67" s="2" t="s">
        <v>300</v>
      </c>
      <c r="E67" t="s">
        <v>43</v>
      </c>
      <c r="F67" t="s">
        <v>274</v>
      </c>
    </row>
    <row r="68" spans="1:6">
      <c r="A68" s="5">
        <v>46091</v>
      </c>
      <c r="B68" t="s">
        <v>206</v>
      </c>
      <c r="C68" s="2">
        <v>55.41</v>
      </c>
      <c r="D68" s="2" t="s">
        <v>301</v>
      </c>
      <c r="E68" s="15" t="s">
        <v>249</v>
      </c>
      <c r="F68" t="s">
        <v>274</v>
      </c>
    </row>
    <row r="69" spans="1:6">
      <c r="A69" s="5">
        <v>46091</v>
      </c>
      <c r="B69" t="s">
        <v>21</v>
      </c>
      <c r="C69" s="2">
        <v>32.17</v>
      </c>
      <c r="D69" s="2" t="s">
        <v>21</v>
      </c>
      <c r="E69" t="s">
        <v>249</v>
      </c>
      <c r="F69" t="s">
        <v>274</v>
      </c>
    </row>
    <row r="70" spans="1:6">
      <c r="A70" s="5">
        <v>46092</v>
      </c>
      <c r="B70" t="s">
        <v>24</v>
      </c>
      <c r="C70" s="2">
        <v>35</v>
      </c>
      <c r="D70" s="2" t="s">
        <v>302</v>
      </c>
      <c r="E70" t="s">
        <v>249</v>
      </c>
      <c r="F70" t="s">
        <v>274</v>
      </c>
    </row>
    <row r="71" spans="1:6">
      <c r="A71" s="5">
        <v>46092</v>
      </c>
      <c r="B71" t="s">
        <v>21</v>
      </c>
      <c r="C71" s="2">
        <v>30.1</v>
      </c>
      <c r="D71" s="2" t="s">
        <v>21</v>
      </c>
      <c r="E71" t="s">
        <v>249</v>
      </c>
      <c r="F71" t="s">
        <v>274</v>
      </c>
    </row>
    <row r="72" spans="1:6">
      <c r="A72" s="5">
        <v>46096</v>
      </c>
      <c r="B72" t="s">
        <v>20</v>
      </c>
      <c r="C72" s="2">
        <v>25.83</v>
      </c>
      <c r="D72" s="2" t="s">
        <v>20</v>
      </c>
      <c r="E72" t="s">
        <v>249</v>
      </c>
      <c r="F72" t="s">
        <v>274</v>
      </c>
    </row>
    <row r="73" spans="1:6">
      <c r="A73" s="5">
        <v>46096</v>
      </c>
      <c r="B73" t="s">
        <v>21</v>
      </c>
      <c r="C73" s="2">
        <v>30.25</v>
      </c>
      <c r="D73" s="2" t="s">
        <v>21</v>
      </c>
      <c r="E73" t="s">
        <v>249</v>
      </c>
      <c r="F73" t="s">
        <v>274</v>
      </c>
    </row>
    <row r="74" spans="1:6">
      <c r="A74" s="5">
        <v>46097</v>
      </c>
      <c r="B74" t="s">
        <v>21</v>
      </c>
      <c r="C74" s="2">
        <v>44.19</v>
      </c>
      <c r="D74" s="2" t="s">
        <v>21</v>
      </c>
      <c r="E74" t="s">
        <v>249</v>
      </c>
      <c r="F74" t="s">
        <v>274</v>
      </c>
    </row>
    <row r="75" spans="1:6">
      <c r="A75" s="5">
        <v>46100</v>
      </c>
      <c r="B75" t="s">
        <v>20</v>
      </c>
      <c r="C75" s="2">
        <v>53.71</v>
      </c>
      <c r="D75" s="2" t="s">
        <v>20</v>
      </c>
      <c r="E75" t="s">
        <v>249</v>
      </c>
      <c r="F75" t="s">
        <v>274</v>
      </c>
    </row>
    <row r="76" spans="1:6">
      <c r="A76" s="5">
        <v>46100</v>
      </c>
      <c r="B76" t="s">
        <v>14</v>
      </c>
      <c r="C76" s="2">
        <v>50</v>
      </c>
      <c r="D76" s="2" t="s">
        <v>303</v>
      </c>
      <c r="E76" s="15" t="s">
        <v>249</v>
      </c>
      <c r="F76" t="s">
        <v>274</v>
      </c>
    </row>
    <row r="77" spans="1:6">
      <c r="A77" s="5">
        <v>46100</v>
      </c>
      <c r="B77" t="s">
        <v>21</v>
      </c>
      <c r="C77" s="2">
        <v>29.8</v>
      </c>
      <c r="D77" s="2" t="s">
        <v>21</v>
      </c>
      <c r="E77" t="s">
        <v>249</v>
      </c>
      <c r="F77" t="s">
        <v>274</v>
      </c>
    </row>
    <row r="78" spans="1:6">
      <c r="A78" s="5">
        <v>46100</v>
      </c>
      <c r="B78" t="s">
        <v>20</v>
      </c>
      <c r="C78" s="2">
        <v>10</v>
      </c>
      <c r="D78" s="2" t="s">
        <v>20</v>
      </c>
      <c r="E78" t="s">
        <v>249</v>
      </c>
      <c r="F78" t="s">
        <v>274</v>
      </c>
    </row>
    <row r="79" spans="1:6">
      <c r="A79" s="5">
        <v>46101</v>
      </c>
      <c r="B79" t="s">
        <v>21</v>
      </c>
      <c r="C79" s="2">
        <v>10.46</v>
      </c>
      <c r="D79" s="2" t="s">
        <v>21</v>
      </c>
      <c r="E79" t="s">
        <v>249</v>
      </c>
      <c r="F79" t="s">
        <v>274</v>
      </c>
    </row>
    <row r="80" spans="1:6">
      <c r="A80" s="5">
        <v>46102</v>
      </c>
      <c r="B80" t="s">
        <v>21</v>
      </c>
      <c r="C80" s="2">
        <v>18.059999999999999</v>
      </c>
      <c r="D80" s="2" t="s">
        <v>21</v>
      </c>
      <c r="E80" t="s">
        <v>249</v>
      </c>
      <c r="F80" t="s">
        <v>274</v>
      </c>
    </row>
    <row r="81" spans="1:6">
      <c r="A81" s="5">
        <v>46102</v>
      </c>
      <c r="B81" t="s">
        <v>21</v>
      </c>
      <c r="C81" s="2">
        <v>45.13</v>
      </c>
      <c r="D81" s="2" t="s">
        <v>21</v>
      </c>
      <c r="E81" t="s">
        <v>249</v>
      </c>
      <c r="F81" t="s">
        <v>274</v>
      </c>
    </row>
    <row r="82" spans="1:6">
      <c r="A82" s="5">
        <v>46102</v>
      </c>
      <c r="B82" s="5" t="s">
        <v>24</v>
      </c>
      <c r="C82" s="2">
        <v>30.78</v>
      </c>
      <c r="D82" s="5" t="s">
        <v>304</v>
      </c>
      <c r="E82" t="s">
        <v>249</v>
      </c>
      <c r="F82" t="s">
        <v>274</v>
      </c>
    </row>
    <row r="83" spans="1:6">
      <c r="A83" s="5">
        <v>46102</v>
      </c>
      <c r="B83" s="5" t="s">
        <v>183</v>
      </c>
      <c r="C83" s="2">
        <v>82.38</v>
      </c>
      <c r="D83" s="5" t="s">
        <v>278</v>
      </c>
      <c r="E83" t="s">
        <v>249</v>
      </c>
      <c r="F83" t="s">
        <v>274</v>
      </c>
    </row>
    <row r="84" spans="1:6">
      <c r="A84" s="5">
        <v>46102</v>
      </c>
      <c r="B84" s="5" t="s">
        <v>24</v>
      </c>
      <c r="C84" s="2">
        <v>8.11</v>
      </c>
      <c r="D84" s="5" t="s">
        <v>305</v>
      </c>
      <c r="E84" t="s">
        <v>249</v>
      </c>
      <c r="F84" t="s">
        <v>274</v>
      </c>
    </row>
    <row r="85" spans="1:6">
      <c r="A85" s="5">
        <v>46103</v>
      </c>
      <c r="B85" s="5" t="s">
        <v>21</v>
      </c>
      <c r="C85" s="2">
        <v>32.21</v>
      </c>
      <c r="D85" t="s">
        <v>21</v>
      </c>
      <c r="E85" t="s">
        <v>249</v>
      </c>
      <c r="F85" t="s">
        <v>274</v>
      </c>
    </row>
    <row r="86" spans="1:6">
      <c r="A86" s="5">
        <v>46106</v>
      </c>
      <c r="B86" t="s">
        <v>208</v>
      </c>
      <c r="C86" s="2">
        <v>257.45</v>
      </c>
      <c r="D86" t="s">
        <v>306</v>
      </c>
      <c r="E86" t="s">
        <v>249</v>
      </c>
      <c r="F86" t="s">
        <v>274</v>
      </c>
    </row>
    <row r="87" spans="1:6">
      <c r="A87" s="5">
        <v>46107</v>
      </c>
      <c r="B87" t="s">
        <v>20</v>
      </c>
      <c r="C87" s="2">
        <v>59.74</v>
      </c>
      <c r="D87" t="s">
        <v>20</v>
      </c>
      <c r="E87" t="s">
        <v>249</v>
      </c>
      <c r="F87" t="s">
        <v>274</v>
      </c>
    </row>
    <row r="88" spans="1:6">
      <c r="A88" s="5">
        <v>46107</v>
      </c>
      <c r="B88" t="s">
        <v>12</v>
      </c>
      <c r="C88" s="2">
        <v>14.91</v>
      </c>
      <c r="D88" t="s">
        <v>307</v>
      </c>
      <c r="E88" t="s">
        <v>249</v>
      </c>
      <c r="F88" t="s">
        <v>274</v>
      </c>
    </row>
    <row r="89" spans="1:6">
      <c r="A89" s="5">
        <v>46107</v>
      </c>
      <c r="B89" t="s">
        <v>21</v>
      </c>
      <c r="C89" s="2">
        <v>46.24</v>
      </c>
      <c r="D89" t="s">
        <v>21</v>
      </c>
      <c r="E89" t="s">
        <v>249</v>
      </c>
      <c r="F89" t="s">
        <v>274</v>
      </c>
    </row>
    <row r="90" spans="1:6">
      <c r="A90" s="5">
        <v>46108</v>
      </c>
      <c r="B90" t="s">
        <v>24</v>
      </c>
      <c r="C90" s="2">
        <v>181.75</v>
      </c>
      <c r="D90" t="s">
        <v>308</v>
      </c>
      <c r="E90" t="s">
        <v>249</v>
      </c>
      <c r="F90" t="s">
        <v>274</v>
      </c>
    </row>
    <row r="91" spans="1:6">
      <c r="A91" s="5">
        <v>46108</v>
      </c>
      <c r="B91" t="s">
        <v>10</v>
      </c>
      <c r="C91" s="2">
        <v>36.29</v>
      </c>
      <c r="D91" t="s">
        <v>309</v>
      </c>
      <c r="E91" t="s">
        <v>249</v>
      </c>
      <c r="F91" t="s">
        <v>274</v>
      </c>
    </row>
    <row r="92" spans="1:6">
      <c r="A92" s="5">
        <v>46109</v>
      </c>
      <c r="B92" t="s">
        <v>23</v>
      </c>
      <c r="C92" s="2">
        <v>25</v>
      </c>
      <c r="D92" t="s">
        <v>310</v>
      </c>
      <c r="E92" t="s">
        <v>249</v>
      </c>
      <c r="F92" t="s">
        <v>274</v>
      </c>
    </row>
    <row r="93" spans="1:6">
      <c r="A93" s="5">
        <v>46109</v>
      </c>
      <c r="B93" t="s">
        <v>10</v>
      </c>
      <c r="C93" s="2">
        <v>52.13</v>
      </c>
      <c r="D93" t="s">
        <v>311</v>
      </c>
      <c r="E93" t="s">
        <v>249</v>
      </c>
      <c r="F93" t="s">
        <v>274</v>
      </c>
    </row>
    <row r="94" spans="1:6">
      <c r="A94" s="5">
        <v>46090</v>
      </c>
      <c r="B94" t="s">
        <v>27</v>
      </c>
      <c r="C94" s="2">
        <v>8.59</v>
      </c>
      <c r="D94" t="s">
        <v>312</v>
      </c>
      <c r="E94" t="s">
        <v>47</v>
      </c>
      <c r="F94" t="s">
        <v>274</v>
      </c>
    </row>
    <row r="95" spans="1:6">
      <c r="A95" s="5">
        <v>46096</v>
      </c>
      <c r="B95" t="s">
        <v>25</v>
      </c>
      <c r="C95" s="2">
        <v>16.13</v>
      </c>
      <c r="D95" t="s">
        <v>261</v>
      </c>
      <c r="E95" t="s">
        <v>47</v>
      </c>
      <c r="F95" t="s">
        <v>274</v>
      </c>
    </row>
    <row r="96" spans="1:6">
      <c r="A96" s="5">
        <v>46100</v>
      </c>
      <c r="B96" t="s">
        <v>20</v>
      </c>
      <c r="C96" s="2">
        <v>5.24</v>
      </c>
      <c r="D96" t="s">
        <v>20</v>
      </c>
      <c r="E96" t="s">
        <v>47</v>
      </c>
      <c r="F96" t="s">
        <v>274</v>
      </c>
    </row>
    <row r="97" spans="1:6">
      <c r="A97" s="5">
        <v>46101</v>
      </c>
      <c r="B97" t="s">
        <v>27</v>
      </c>
      <c r="C97" s="2">
        <v>2.99</v>
      </c>
      <c r="D97" t="s">
        <v>313</v>
      </c>
      <c r="E97" t="s">
        <v>47</v>
      </c>
      <c r="F97" t="s">
        <v>274</v>
      </c>
    </row>
    <row r="98" spans="1:6">
      <c r="A98" s="5">
        <v>46102</v>
      </c>
      <c r="B98" t="s">
        <v>24</v>
      </c>
      <c r="C98" s="2">
        <v>37.619999999999997</v>
      </c>
      <c r="D98" t="s">
        <v>314</v>
      </c>
      <c r="E98" t="s">
        <v>47</v>
      </c>
      <c r="F98" t="s">
        <v>274</v>
      </c>
    </row>
    <row r="99" spans="1:6">
      <c r="A99" s="5">
        <v>46102</v>
      </c>
      <c r="B99" t="s">
        <v>27</v>
      </c>
      <c r="C99" s="2">
        <v>21.48</v>
      </c>
      <c r="D99" t="s">
        <v>266</v>
      </c>
      <c r="E99" t="s">
        <v>47</v>
      </c>
      <c r="F99" t="s">
        <v>274</v>
      </c>
    </row>
    <row r="100" spans="1:6">
      <c r="A100" s="5">
        <v>46102</v>
      </c>
      <c r="B100" t="s">
        <v>208</v>
      </c>
      <c r="C100" s="2">
        <v>84.83</v>
      </c>
      <c r="D100" t="s">
        <v>315</v>
      </c>
      <c r="E100" t="s">
        <v>47</v>
      </c>
      <c r="F100" t="s">
        <v>274</v>
      </c>
    </row>
    <row r="101" spans="1:6">
      <c r="A101" s="5">
        <v>46103</v>
      </c>
      <c r="B101" t="s">
        <v>27</v>
      </c>
      <c r="C101" s="2">
        <v>16.11</v>
      </c>
      <c r="D101" t="s">
        <v>78</v>
      </c>
      <c r="E101" t="s">
        <v>47</v>
      </c>
      <c r="F101" t="s">
        <v>274</v>
      </c>
    </row>
    <row r="102" spans="1:6">
      <c r="A102" s="5">
        <v>46106</v>
      </c>
      <c r="B102" t="s">
        <v>20</v>
      </c>
      <c r="C102" s="2">
        <v>21.58</v>
      </c>
      <c r="D102" t="s">
        <v>20</v>
      </c>
      <c r="E102" t="s">
        <v>47</v>
      </c>
      <c r="F102" t="s">
        <v>274</v>
      </c>
    </row>
    <row r="103" spans="1:6">
      <c r="A103" s="5">
        <v>46108</v>
      </c>
      <c r="B103" t="s">
        <v>21</v>
      </c>
      <c r="C103" s="2">
        <v>6.06</v>
      </c>
      <c r="D103" t="s">
        <v>21</v>
      </c>
      <c r="E103" t="s">
        <v>47</v>
      </c>
      <c r="F103" t="s">
        <v>274</v>
      </c>
    </row>
    <row r="104" spans="1:6">
      <c r="A104" s="5">
        <v>46109</v>
      </c>
      <c r="B104" t="s">
        <v>27</v>
      </c>
      <c r="C104" s="2">
        <v>36.93</v>
      </c>
      <c r="D104" t="s">
        <v>116</v>
      </c>
      <c r="E104" t="s">
        <v>47</v>
      </c>
      <c r="F104" t="s">
        <v>274</v>
      </c>
    </row>
    <row r="105" spans="1:6">
      <c r="A105" s="5">
        <v>46109</v>
      </c>
      <c r="B105" t="s">
        <v>23</v>
      </c>
      <c r="C105" s="2">
        <v>32.22</v>
      </c>
      <c r="D105" t="s">
        <v>316</v>
      </c>
      <c r="E105" t="s">
        <v>47</v>
      </c>
      <c r="F105" t="s">
        <v>274</v>
      </c>
    </row>
    <row r="106" spans="1:6">
      <c r="A106" s="5">
        <v>46104</v>
      </c>
      <c r="B106" t="s">
        <v>17</v>
      </c>
      <c r="C106" s="2">
        <v>75</v>
      </c>
      <c r="D106" t="s">
        <v>17</v>
      </c>
      <c r="E106" t="s">
        <v>233</v>
      </c>
      <c r="F106" t="s">
        <v>274</v>
      </c>
    </row>
    <row r="107" spans="1:6">
      <c r="A107" s="5">
        <v>46111</v>
      </c>
      <c r="B107" t="s">
        <v>7</v>
      </c>
      <c r="C107" s="2">
        <v>70</v>
      </c>
      <c r="D107"/>
      <c r="E107" t="s">
        <v>233</v>
      </c>
      <c r="F107" t="s">
        <v>274</v>
      </c>
    </row>
    <row r="108" spans="1:6">
      <c r="A108" s="5">
        <v>46111</v>
      </c>
      <c r="B108" t="s">
        <v>199</v>
      </c>
      <c r="C108" s="2">
        <v>600</v>
      </c>
      <c r="D108"/>
      <c r="E108" t="s">
        <v>233</v>
      </c>
      <c r="F108" t="s">
        <v>274</v>
      </c>
    </row>
    <row r="109" spans="1:6">
      <c r="A109" s="5">
        <v>46110</v>
      </c>
      <c r="B109" t="s">
        <v>192</v>
      </c>
      <c r="C109" s="2">
        <v>557.25</v>
      </c>
      <c r="D109"/>
      <c r="E109" t="s">
        <v>233</v>
      </c>
      <c r="F109" t="s">
        <v>274</v>
      </c>
    </row>
    <row r="110" spans="1:6">
      <c r="A110" s="5">
        <v>46110</v>
      </c>
      <c r="B110" t="s">
        <v>36</v>
      </c>
      <c r="C110" s="2">
        <v>2406.41</v>
      </c>
      <c r="D110"/>
      <c r="E110" t="s">
        <v>233</v>
      </c>
      <c r="F110" t="s">
        <v>274</v>
      </c>
    </row>
    <row r="111" spans="1:6">
      <c r="A111" s="5">
        <v>46110</v>
      </c>
      <c r="B111" t="s">
        <v>36</v>
      </c>
      <c r="C111" s="2">
        <v>97.96</v>
      </c>
      <c r="D111"/>
      <c r="E111" t="s">
        <v>233</v>
      </c>
      <c r="F111" t="s">
        <v>274</v>
      </c>
    </row>
    <row r="112" spans="1:6">
      <c r="A112" s="5">
        <v>46142</v>
      </c>
      <c r="B112" t="s">
        <v>208</v>
      </c>
      <c r="C112" s="2">
        <v>343.84</v>
      </c>
      <c r="D112" t="s">
        <v>317</v>
      </c>
      <c r="E112" t="s">
        <v>233</v>
      </c>
      <c r="F112" t="s">
        <v>318</v>
      </c>
    </row>
    <row r="113" spans="1:10">
      <c r="A113" s="5">
        <v>46112</v>
      </c>
      <c r="B113" t="s">
        <v>208</v>
      </c>
      <c r="C113" s="2">
        <v>368.75</v>
      </c>
      <c r="D113" t="s">
        <v>319</v>
      </c>
      <c r="F113" t="s">
        <v>318</v>
      </c>
      <c r="I113" t="s">
        <v>320</v>
      </c>
      <c r="J113">
        <f>345.79-120</f>
        <v>225.79000000000002</v>
      </c>
    </row>
    <row r="114" spans="1:10">
      <c r="A114" s="5">
        <v>46112</v>
      </c>
      <c r="B114" t="s">
        <v>201</v>
      </c>
      <c r="C114" s="2">
        <v>27</v>
      </c>
      <c r="D114"/>
      <c r="I114" t="s">
        <v>321</v>
      </c>
    </row>
    <row r="115" spans="1:10">
      <c r="D115"/>
    </row>
    <row r="116" spans="1:10">
      <c r="D116"/>
    </row>
    <row r="117" spans="1:10">
      <c r="D117"/>
    </row>
    <row r="118" spans="1:10">
      <c r="D118"/>
    </row>
    <row r="119" spans="1:10">
      <c r="D119"/>
    </row>
    <row r="120" spans="1:10">
      <c r="D120"/>
    </row>
    <row r="121" spans="1:10">
      <c r="D121"/>
    </row>
    <row r="122" spans="1:10">
      <c r="D122"/>
    </row>
    <row r="123" spans="1:10">
      <c r="D123"/>
    </row>
    <row r="124" spans="1:10">
      <c r="D124"/>
    </row>
    <row r="125" spans="1:10">
      <c r="D125"/>
    </row>
    <row r="126" spans="1:10">
      <c r="D126"/>
    </row>
    <row r="127" spans="1:10">
      <c r="D127"/>
    </row>
    <row r="128" spans="1:10">
      <c r="D128"/>
    </row>
    <row r="129" spans="4:4">
      <c r="D129" s="5"/>
    </row>
    <row r="130" spans="4:4">
      <c r="D130" s="5"/>
    </row>
    <row r="131" spans="4:4">
      <c r="D131" s="5"/>
    </row>
  </sheetData>
  <dataValidations count="3">
    <dataValidation type="list" allowBlank="1" showInputMessage="1" showErrorMessage="1" sqref="E31:E1048576" xr:uid="{F4BD20EE-0FB4-4198-9C71-487F20B1E754}">
      <formula1>"Chase, Amex, Costco, Sofi, SchoolsFirst"</formula1>
    </dataValidation>
    <dataValidation allowBlank="1" showInputMessage="1" showErrorMessage="1" sqref="D31:D111 D113:D1048576" xr:uid="{C8ACED3B-288A-4AE6-A3E4-F148D46CC9DC}"/>
    <dataValidation type="list" allowBlank="1" showInputMessage="1" showErrorMessage="1" sqref="B31:B1048576" xr:uid="{11830631-E7A8-4A39-B76D-C01394DB66FA}">
      <formula1>$AJ$4:$AJ$33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2733-517F-4DD4-BA9A-EDBCA35ACFD4}">
  <dimension ref="A1:AJ131"/>
  <sheetViews>
    <sheetView tabSelected="1" topLeftCell="D1" workbookViewId="0">
      <selection activeCell="F15" sqref="F15"/>
    </sheetView>
  </sheetViews>
  <sheetFormatPr defaultRowHeight="15"/>
  <cols>
    <col min="1" max="1" width="29.140625" style="5" bestFit="1" customWidth="1"/>
    <col min="2" max="2" width="26.140625" bestFit="1" customWidth="1"/>
    <col min="3" max="3" width="24.7109375" style="2" customWidth="1"/>
    <col min="4" max="4" width="27.85546875" style="2" customWidth="1"/>
    <col min="5" max="5" width="66.28515625" bestFit="1" customWidth="1"/>
    <col min="6" max="6" width="33.42578125" customWidth="1"/>
    <col min="7" max="7" width="34.42578125" bestFit="1" customWidth="1"/>
    <col min="8" max="8" width="18.5703125" customWidth="1"/>
    <col min="9" max="9" width="35" bestFit="1" customWidth="1"/>
    <col min="10" max="10" width="42.42578125" customWidth="1"/>
    <col min="11" max="11" width="25.85546875" customWidth="1"/>
    <col min="12" max="12" width="33.42578125" customWidth="1"/>
    <col min="13" max="13" width="34.42578125" bestFit="1" customWidth="1"/>
  </cols>
  <sheetData>
    <row r="1" spans="1:36" ht="24.75">
      <c r="A1" s="14" t="s">
        <v>0</v>
      </c>
      <c r="B1" s="14" t="s">
        <v>190</v>
      </c>
      <c r="C1" s="14" t="s">
        <v>35</v>
      </c>
      <c r="D1"/>
      <c r="E1" s="9" t="s">
        <v>3</v>
      </c>
      <c r="F1" s="9" t="s">
        <v>4</v>
      </c>
      <c r="G1" s="9" t="s">
        <v>5</v>
      </c>
      <c r="H1" s="6" t="s">
        <v>191</v>
      </c>
      <c r="I1" s="2"/>
      <c r="J1" s="6" t="s">
        <v>6</v>
      </c>
      <c r="K1" s="6" t="s">
        <v>4</v>
      </c>
      <c r="L1" s="6" t="s">
        <v>5</v>
      </c>
      <c r="M1" s="6" t="s">
        <v>191</v>
      </c>
    </row>
    <row r="2" spans="1:36">
      <c r="A2" s="3">
        <f>SUM(A6:C6)</f>
        <v>8192.0300000000007</v>
      </c>
      <c r="B2" s="3">
        <f>SUM(C31:C1048576)</f>
        <v>2760.6849999999999</v>
      </c>
      <c r="C2" s="3">
        <f>SUM(F13,K21)</f>
        <v>8192.5829999999987</v>
      </c>
      <c r="D2"/>
      <c r="E2" s="10" t="s">
        <v>7</v>
      </c>
      <c r="F2" s="11">
        <v>70</v>
      </c>
      <c r="G2" s="11">
        <f>SUMIF($B$31:$B$1048576,"Bridge",$C$31:$C$1048576)</f>
        <v>0</v>
      </c>
      <c r="H2" s="13">
        <f>F2-G2</f>
        <v>70</v>
      </c>
      <c r="I2" s="2"/>
      <c r="J2" s="12" t="s">
        <v>8</v>
      </c>
      <c r="K2" s="13">
        <v>40</v>
      </c>
      <c r="L2" s="13">
        <f>SUMIF($B$31:$B$1048576,"Car Upkeep",$C$31:$C$1048576)</f>
        <v>0</v>
      </c>
      <c r="M2" s="13">
        <f>K2-L2</f>
        <v>40</v>
      </c>
    </row>
    <row r="3" spans="1:36">
      <c r="A3"/>
      <c r="C3"/>
      <c r="D3"/>
      <c r="E3" s="10" t="s">
        <v>192</v>
      </c>
      <c r="F3" s="11">
        <v>557.25</v>
      </c>
      <c r="G3" s="11">
        <f>SUMIF($B$31:$B$1048576,"4Runner payment",$C$31:$C$1048576)</f>
        <v>0</v>
      </c>
      <c r="H3" s="13">
        <f t="shared" ref="H3:H17" si="0">F3-G3</f>
        <v>557.25</v>
      </c>
      <c r="I3" s="2"/>
      <c r="J3" s="12" t="s">
        <v>10</v>
      </c>
      <c r="K3" s="13">
        <v>100</v>
      </c>
      <c r="L3" s="13">
        <f>SUMIF($B$31:$B$1048576,"Date/Fun Money",$C$31:$C$1048576)</f>
        <v>3.24</v>
      </c>
      <c r="M3" s="13">
        <f t="shared" ref="M3:M17" si="1">K3-L3</f>
        <v>96.76</v>
      </c>
    </row>
    <row r="4" spans="1:36">
      <c r="A4"/>
      <c r="C4"/>
      <c r="D4"/>
      <c r="E4" s="10" t="s">
        <v>11</v>
      </c>
      <c r="F4" s="11">
        <v>35</v>
      </c>
      <c r="G4" s="11">
        <f>SUMIF($B$31:$B$1048576,"Car Wash",$C$31:$C$1048576)</f>
        <v>0</v>
      </c>
      <c r="H4" s="13">
        <f t="shared" si="0"/>
        <v>35</v>
      </c>
      <c r="I4" s="2"/>
      <c r="J4" s="12" t="s">
        <v>12</v>
      </c>
      <c r="K4" s="13">
        <v>50</v>
      </c>
      <c r="L4" s="13">
        <f>SUMIF($B$31:$B$1048576,"Dining Out",$C$31:$C$1048576)</f>
        <v>0</v>
      </c>
      <c r="M4" s="13">
        <f t="shared" si="1"/>
        <v>50</v>
      </c>
      <c r="AJ4" s="10" t="s">
        <v>7</v>
      </c>
    </row>
    <row r="5" spans="1:36" ht="24.75">
      <c r="A5" s="14" t="s">
        <v>193</v>
      </c>
      <c r="B5" s="14" t="s">
        <v>194</v>
      </c>
      <c r="C5" s="14" t="s">
        <v>195</v>
      </c>
      <c r="D5"/>
      <c r="E5" s="10" t="s">
        <v>36</v>
      </c>
      <c r="F5" s="11">
        <v>2517.69</v>
      </c>
      <c r="G5" s="11">
        <f>SUMIF($B$31:$B$1048576,"Mortgage",$C$31:$C$1048576)</f>
        <v>0</v>
      </c>
      <c r="H5" s="13">
        <f t="shared" si="0"/>
        <v>2517.69</v>
      </c>
      <c r="I5" s="2"/>
      <c r="J5" s="12" t="s">
        <v>14</v>
      </c>
      <c r="K5" s="13">
        <v>75</v>
      </c>
      <c r="L5" s="13">
        <f>SUMIF($B$31:$B$1048576,"Dogs",$C$31:$C$1048576)</f>
        <v>66.37</v>
      </c>
      <c r="M5" s="13">
        <f t="shared" si="1"/>
        <v>8.6299999999999955</v>
      </c>
      <c r="AJ5" s="10" t="s">
        <v>192</v>
      </c>
    </row>
    <row r="6" spans="1:36">
      <c r="A6" s="3">
        <v>4386.3100000000004</v>
      </c>
      <c r="B6" s="3">
        <v>1910.52</v>
      </c>
      <c r="C6" s="3">
        <v>1895.2</v>
      </c>
      <c r="E6" s="10" t="s">
        <v>15</v>
      </c>
      <c r="F6" s="11">
        <v>200</v>
      </c>
      <c r="G6" s="11">
        <f>SUMIF($B$31:$B$1048576,"Utilities",$C$31:$C$1048576)</f>
        <v>0</v>
      </c>
      <c r="H6" s="13">
        <f t="shared" si="0"/>
        <v>200</v>
      </c>
      <c r="I6" s="2"/>
      <c r="J6" s="12" t="s">
        <v>196</v>
      </c>
      <c r="K6" s="13">
        <v>290</v>
      </c>
      <c r="L6" s="13">
        <f>SUMIF($B$31:$B$1048576,"House Savings",$C$31:$C$1048576)</f>
        <v>0</v>
      </c>
      <c r="M6" s="13">
        <f t="shared" si="1"/>
        <v>290</v>
      </c>
      <c r="AJ6" s="10" t="s">
        <v>11</v>
      </c>
    </row>
    <row r="7" spans="1:36">
      <c r="A7"/>
      <c r="C7"/>
      <c r="D7"/>
      <c r="E7" s="10" t="s">
        <v>17</v>
      </c>
      <c r="F7" s="11">
        <v>75</v>
      </c>
      <c r="G7" s="11">
        <f>SUMIF($B$31:$B$1048576,"Wifi",$C$31:$C$1048576)</f>
        <v>0</v>
      </c>
      <c r="H7" s="13">
        <f t="shared" si="0"/>
        <v>75</v>
      </c>
      <c r="I7" s="2"/>
      <c r="J7" s="12" t="s">
        <v>18</v>
      </c>
      <c r="K7" s="13">
        <v>417</v>
      </c>
      <c r="L7" s="13">
        <f>SUMIF($B$31:$B$1048576,"Extra Car Payment",$C$31:$C$1048576)</f>
        <v>123.42999999999999</v>
      </c>
      <c r="M7" s="13">
        <f t="shared" si="1"/>
        <v>293.57</v>
      </c>
      <c r="AJ7" s="10" t="s">
        <v>36</v>
      </c>
    </row>
    <row r="8" spans="1:36">
      <c r="A8" s="3" t="s">
        <v>36</v>
      </c>
      <c r="B8" s="3" t="s">
        <v>197</v>
      </c>
      <c r="C8" s="3" t="s">
        <v>198</v>
      </c>
      <c r="D8"/>
      <c r="E8" s="10" t="s">
        <v>19</v>
      </c>
      <c r="F8" s="11">
        <f>A2*0.1</f>
        <v>819.20300000000009</v>
      </c>
      <c r="G8" s="11">
        <f>F8</f>
        <v>819.20300000000009</v>
      </c>
      <c r="H8" s="13">
        <f t="shared" si="0"/>
        <v>0</v>
      </c>
      <c r="I8" s="2"/>
      <c r="J8" s="12" t="s">
        <v>20</v>
      </c>
      <c r="K8" s="13">
        <v>200</v>
      </c>
      <c r="L8" s="13">
        <f>SUMIF($B$31:$B$1048576,"Gas",$C$31:$C$1048576)</f>
        <v>233.13</v>
      </c>
      <c r="M8" s="13">
        <f t="shared" si="1"/>
        <v>-33.129999999999995</v>
      </c>
      <c r="AJ8" s="10" t="s">
        <v>15</v>
      </c>
    </row>
    <row r="9" spans="1:36">
      <c r="A9" s="3" t="s">
        <v>15</v>
      </c>
      <c r="B9" s="3" t="s">
        <v>19</v>
      </c>
      <c r="C9" s="3" t="s">
        <v>8</v>
      </c>
      <c r="D9"/>
      <c r="E9" s="10" t="s">
        <v>199</v>
      </c>
      <c r="F9" s="11">
        <v>500</v>
      </c>
      <c r="G9" s="11">
        <f>SUMIF($B$31:$B$1048576,"Nanny",$C$31:$C$1048576)</f>
        <v>0</v>
      </c>
      <c r="H9" s="13">
        <f t="shared" si="0"/>
        <v>500</v>
      </c>
      <c r="I9" s="2"/>
      <c r="J9" s="12" t="s">
        <v>21</v>
      </c>
      <c r="K9" s="13">
        <v>450</v>
      </c>
      <c r="L9" s="13">
        <f>SUMIF($B$31:$B$1048576,"Groceries",$C$31:$C$1048576)</f>
        <v>488.17</v>
      </c>
      <c r="M9" s="13">
        <f t="shared" si="1"/>
        <v>-38.170000000000016</v>
      </c>
      <c r="AJ9" s="10" t="s">
        <v>17</v>
      </c>
    </row>
    <row r="10" spans="1:36">
      <c r="A10" s="3" t="s">
        <v>17</v>
      </c>
      <c r="B10" s="3" t="s">
        <v>10</v>
      </c>
      <c r="C10" s="3" t="s">
        <v>16</v>
      </c>
      <c r="D10"/>
      <c r="E10" s="10" t="s">
        <v>200</v>
      </c>
      <c r="F10" s="11">
        <v>134.44</v>
      </c>
      <c r="G10" s="11">
        <f>SUMIF($B$31:$B$1048576,"Car Insurance",$C$31:$C$1048576)</f>
        <v>0</v>
      </c>
      <c r="H10" s="13">
        <f t="shared" si="0"/>
        <v>134.44</v>
      </c>
      <c r="I10" s="2"/>
      <c r="J10" s="12" t="s">
        <v>23</v>
      </c>
      <c r="K10" s="13">
        <v>60</v>
      </c>
      <c r="L10" s="13">
        <f>SUMIF($B$31:$B$1048576,"Household Items",$C$31:$C$1048576)</f>
        <v>46.73</v>
      </c>
      <c r="M10" s="13">
        <f t="shared" si="1"/>
        <v>13.270000000000003</v>
      </c>
      <c r="AJ10" s="10" t="s">
        <v>19</v>
      </c>
    </row>
    <row r="11" spans="1:36">
      <c r="A11" s="3" t="s">
        <v>21</v>
      </c>
      <c r="B11" s="3" t="s">
        <v>12</v>
      </c>
      <c r="C11" s="3" t="s">
        <v>18</v>
      </c>
      <c r="D11"/>
      <c r="E11" s="10" t="s">
        <v>201</v>
      </c>
      <c r="F11" s="11">
        <v>27</v>
      </c>
      <c r="G11" s="11">
        <f>SUMIF($B$31:$B$1048576,"Home Insurance",$C$31:$C$1048576)</f>
        <v>0</v>
      </c>
      <c r="H11" s="13">
        <f t="shared" si="0"/>
        <v>27</v>
      </c>
      <c r="I11" s="2"/>
      <c r="J11" s="12" t="s">
        <v>24</v>
      </c>
      <c r="K11" s="13">
        <v>200</v>
      </c>
      <c r="L11" s="13">
        <f>SUMIF($B$31:$B$1048576,"Shopping",$C$31:$C$1048576)</f>
        <v>254.81</v>
      </c>
      <c r="M11" s="13">
        <f t="shared" si="1"/>
        <v>-54.81</v>
      </c>
      <c r="AJ11" s="10" t="s">
        <v>199</v>
      </c>
    </row>
    <row r="12" spans="1:36">
      <c r="A12" s="3" t="s">
        <v>202</v>
      </c>
      <c r="B12" s="3" t="s">
        <v>14</v>
      </c>
      <c r="C12" s="3" t="s">
        <v>23</v>
      </c>
      <c r="D12"/>
      <c r="E12" s="2"/>
      <c r="F12" s="2"/>
      <c r="G12" s="2"/>
      <c r="H12" s="2"/>
      <c r="I12" s="2"/>
      <c r="J12" s="12" t="s">
        <v>25</v>
      </c>
      <c r="K12" s="13">
        <v>260</v>
      </c>
      <c r="L12" s="13">
        <f>SUMIF($B$31:$B$1048576,"Student Loans",$C$31:$C$1048576)</f>
        <v>0</v>
      </c>
      <c r="M12" s="13">
        <f t="shared" si="1"/>
        <v>260</v>
      </c>
      <c r="AJ12" s="10" t="s">
        <v>200</v>
      </c>
    </row>
    <row r="13" spans="1:36" ht="24.75">
      <c r="A13" s="3" t="s">
        <v>183</v>
      </c>
      <c r="B13" s="3" t="s">
        <v>20</v>
      </c>
      <c r="C13" s="3" t="s">
        <v>25</v>
      </c>
      <c r="D13"/>
      <c r="E13" s="9" t="s">
        <v>203</v>
      </c>
      <c r="F13" s="11">
        <f>SUM(F2:F11)</f>
        <v>4935.5829999999996</v>
      </c>
      <c r="G13" s="2"/>
      <c r="H13" s="2"/>
      <c r="I13" s="2"/>
      <c r="J13" s="12" t="s">
        <v>26</v>
      </c>
      <c r="K13" s="13">
        <v>500</v>
      </c>
      <c r="L13" s="13">
        <f>SUMIF($B$31:$B$1048576,"Travel",$C$31:$C$1048576)</f>
        <v>1239.9349999999999</v>
      </c>
      <c r="M13" s="13">
        <f t="shared" si="1"/>
        <v>-739.93499999999995</v>
      </c>
      <c r="AJ13" s="10" t="s">
        <v>201</v>
      </c>
    </row>
    <row r="14" spans="1:36">
      <c r="A14" s="3"/>
      <c r="B14" s="3" t="s">
        <v>24</v>
      </c>
      <c r="C14" s="3" t="s">
        <v>182</v>
      </c>
      <c r="D14"/>
      <c r="G14" s="2"/>
      <c r="H14" s="2"/>
      <c r="I14" s="2"/>
      <c r="J14" s="12" t="s">
        <v>27</v>
      </c>
      <c r="K14" s="13">
        <v>163</v>
      </c>
      <c r="L14" s="13">
        <f>SUMIF($B$31:$B$1048576,"Variables",$C$31:$C$1048576)</f>
        <v>0</v>
      </c>
      <c r="M14" s="13">
        <f t="shared" si="1"/>
        <v>163</v>
      </c>
      <c r="AJ14" s="12" t="s">
        <v>8</v>
      </c>
    </row>
    <row r="15" spans="1:36" ht="13.5" customHeight="1">
      <c r="A15" s="3"/>
      <c r="B15" s="3" t="s">
        <v>27</v>
      </c>
      <c r="C15" s="3" t="s">
        <v>204</v>
      </c>
      <c r="D15" s="4"/>
      <c r="E15" s="2"/>
      <c r="F15" s="2"/>
      <c r="G15" s="2"/>
      <c r="H15" s="2"/>
      <c r="I15" s="2"/>
      <c r="J15" s="12" t="s">
        <v>205</v>
      </c>
      <c r="K15" s="13">
        <v>32</v>
      </c>
      <c r="L15" s="13">
        <f>SUMIF($B$31:$B$1048576,"Gym",$C$31:$C$1048576)</f>
        <v>0</v>
      </c>
      <c r="M15" s="13">
        <f t="shared" si="1"/>
        <v>32</v>
      </c>
      <c r="AJ15" s="12" t="s">
        <v>10</v>
      </c>
    </row>
    <row r="16" spans="1:36">
      <c r="A16" s="3"/>
      <c r="B16" s="3" t="s">
        <v>22</v>
      </c>
      <c r="C16" s="3"/>
      <c r="D16"/>
      <c r="H16" s="2"/>
      <c r="I16" s="2"/>
      <c r="J16" s="12" t="s">
        <v>183</v>
      </c>
      <c r="K16" s="13">
        <v>150</v>
      </c>
      <c r="L16" s="13">
        <f>SUMIF($B$31:$B$1048576,"Hadlee",$C$31:$C$1048576)</f>
        <v>185.15</v>
      </c>
      <c r="M16" s="13">
        <f t="shared" si="1"/>
        <v>-35.150000000000006</v>
      </c>
      <c r="AJ16" s="12" t="s">
        <v>12</v>
      </c>
    </row>
    <row r="17" spans="1:36">
      <c r="A17"/>
      <c r="C17"/>
      <c r="D17"/>
      <c r="H17" s="2"/>
      <c r="I17" s="2"/>
      <c r="J17" s="12" t="s">
        <v>206</v>
      </c>
      <c r="K17" s="13">
        <v>120</v>
      </c>
      <c r="L17" s="13">
        <f>SUMIF($B$31:$B$1048576,"Gift Money",$C$31:$C$1048576)</f>
        <v>119.72</v>
      </c>
      <c r="M17" s="13">
        <f t="shared" si="1"/>
        <v>0.28000000000000114</v>
      </c>
      <c r="AJ17" s="12" t="s">
        <v>14</v>
      </c>
    </row>
    <row r="18" spans="1:36">
      <c r="A18"/>
      <c r="C18"/>
      <c r="D18"/>
      <c r="H18" s="2"/>
      <c r="I18" s="2"/>
      <c r="J18" s="12" t="s">
        <v>207</v>
      </c>
      <c r="K18" s="13">
        <v>150</v>
      </c>
      <c r="L18" s="13">
        <f>SUMIF($B$31:$B$1048576,"Mikelle shot",$C$31:$C$1048576)</f>
        <v>0</v>
      </c>
      <c r="M18" s="13">
        <f>K18-L18</f>
        <v>150</v>
      </c>
      <c r="AJ18" s="12" t="s">
        <v>196</v>
      </c>
    </row>
    <row r="19" spans="1:36">
      <c r="A19"/>
      <c r="C19"/>
      <c r="D19"/>
      <c r="E19" s="2"/>
      <c r="H19" s="2"/>
      <c r="I19" s="2"/>
      <c r="J19" s="12" t="s">
        <v>208</v>
      </c>
      <c r="K19" s="13">
        <v>0</v>
      </c>
      <c r="L19" s="13">
        <f>SUMIF($B$31:$B$1048576,"Emergency",$C$31:$C$1048576)</f>
        <v>0</v>
      </c>
      <c r="M19" s="13">
        <f>K19-L19</f>
        <v>0</v>
      </c>
      <c r="AJ19" s="12"/>
    </row>
    <row r="20" spans="1:36">
      <c r="A20"/>
      <c r="C20"/>
      <c r="D20"/>
      <c r="H20" s="2"/>
      <c r="I20" s="2"/>
      <c r="J20" s="2"/>
      <c r="K20" s="2"/>
      <c r="L20" s="2"/>
      <c r="M20" s="2"/>
      <c r="AJ20" s="12"/>
    </row>
    <row r="21" spans="1:36" ht="24.75">
      <c r="A21" s="2"/>
      <c r="C21"/>
      <c r="D21"/>
      <c r="H21" s="2"/>
      <c r="I21" s="2"/>
      <c r="J21" s="6" t="s">
        <v>203</v>
      </c>
      <c r="K21" s="13">
        <f>SUM(K2:K18)</f>
        <v>3257</v>
      </c>
      <c r="L21" s="2"/>
      <c r="M21" s="2"/>
      <c r="AJ21" s="12" t="s">
        <v>18</v>
      </c>
    </row>
    <row r="22" spans="1:36">
      <c r="A22"/>
      <c r="C22"/>
      <c r="D22"/>
      <c r="H22" s="2"/>
      <c r="I22" s="2"/>
      <c r="J22" s="2"/>
      <c r="K22" s="2"/>
      <c r="L22" s="2"/>
      <c r="M22" s="2"/>
      <c r="AJ22" s="12" t="s">
        <v>20</v>
      </c>
    </row>
    <row r="23" spans="1:36">
      <c r="A23"/>
      <c r="C23"/>
      <c r="D23"/>
      <c r="H23" s="2"/>
      <c r="I23" s="2"/>
      <c r="J23" s="2"/>
      <c r="K23" s="2"/>
      <c r="L23" s="2"/>
      <c r="M23" s="2"/>
      <c r="AJ23" s="12" t="s">
        <v>21</v>
      </c>
    </row>
    <row r="24" spans="1:36">
      <c r="A24"/>
      <c r="C24"/>
      <c r="D24"/>
      <c r="H24" s="2"/>
      <c r="I24" s="2"/>
      <c r="J24" s="2"/>
      <c r="K24" s="2"/>
      <c r="L24" s="2"/>
      <c r="M24" s="2"/>
      <c r="AJ24" s="12" t="s">
        <v>23</v>
      </c>
    </row>
    <row r="25" spans="1:36">
      <c r="A25"/>
      <c r="C25"/>
      <c r="D25"/>
      <c r="E25" s="26"/>
      <c r="F25" s="2"/>
      <c r="H25" s="2"/>
      <c r="I25" s="2"/>
      <c r="L25" s="2"/>
      <c r="M25" s="2"/>
      <c r="AJ25" s="12" t="s">
        <v>24</v>
      </c>
    </row>
    <row r="26" spans="1:36">
      <c r="A26"/>
      <c r="C26"/>
      <c r="D26"/>
      <c r="K26" s="2"/>
      <c r="AJ26" s="12" t="s">
        <v>25</v>
      </c>
    </row>
    <row r="27" spans="1:36">
      <c r="A27"/>
      <c r="C27"/>
      <c r="D27"/>
      <c r="AJ27" s="12" t="s">
        <v>26</v>
      </c>
    </row>
    <row r="28" spans="1:36" ht="24.75">
      <c r="A28" s="14" t="s">
        <v>30</v>
      </c>
      <c r="C28"/>
      <c r="D28"/>
      <c r="E28" s="26"/>
      <c r="F28" s="2"/>
      <c r="AJ28" s="12" t="s">
        <v>27</v>
      </c>
    </row>
    <row r="29" spans="1:36">
      <c r="A29"/>
      <c r="C29"/>
      <c r="D29"/>
      <c r="AJ29" s="12" t="s">
        <v>205</v>
      </c>
    </row>
    <row r="30" spans="1:36" ht="24.75">
      <c r="A30" s="8" t="s">
        <v>31</v>
      </c>
      <c r="B30" s="8" t="s">
        <v>32</v>
      </c>
      <c r="C30" s="8" t="s">
        <v>33</v>
      </c>
      <c r="D30" s="8" t="s">
        <v>209</v>
      </c>
      <c r="E30" s="8" t="s">
        <v>210</v>
      </c>
      <c r="F30" s="2"/>
      <c r="AJ30" s="12" t="s">
        <v>183</v>
      </c>
    </row>
    <row r="31" spans="1:36">
      <c r="A31" s="5">
        <v>46113</v>
      </c>
      <c r="B31" t="s">
        <v>206</v>
      </c>
      <c r="C31" s="2">
        <v>24.69</v>
      </c>
      <c r="D31" s="2" t="s">
        <v>322</v>
      </c>
      <c r="E31" t="s">
        <v>249</v>
      </c>
      <c r="F31" t="s">
        <v>274</v>
      </c>
      <c r="AJ31" s="12" t="s">
        <v>206</v>
      </c>
    </row>
    <row r="32" spans="1:36">
      <c r="A32" s="5">
        <v>46113</v>
      </c>
      <c r="B32" t="s">
        <v>23</v>
      </c>
      <c r="C32" s="2">
        <v>46.73</v>
      </c>
      <c r="D32" s="2" t="s">
        <v>323</v>
      </c>
      <c r="E32" t="s">
        <v>249</v>
      </c>
      <c r="F32" t="s">
        <v>274</v>
      </c>
      <c r="AJ32" s="12" t="s">
        <v>208</v>
      </c>
    </row>
    <row r="33" spans="1:36">
      <c r="A33" s="5">
        <v>46113</v>
      </c>
      <c r="B33" t="s">
        <v>20</v>
      </c>
      <c r="C33" s="2">
        <v>20.04</v>
      </c>
      <c r="D33" s="2" t="s">
        <v>20</v>
      </c>
      <c r="E33" t="s">
        <v>249</v>
      </c>
      <c r="F33" t="s">
        <v>274</v>
      </c>
      <c r="AJ33" s="12" t="s">
        <v>207</v>
      </c>
    </row>
    <row r="34" spans="1:36">
      <c r="A34" s="5">
        <v>46113</v>
      </c>
      <c r="B34" t="s">
        <v>20</v>
      </c>
      <c r="C34" s="2">
        <v>51.8</v>
      </c>
      <c r="D34" s="2" t="s">
        <v>20</v>
      </c>
      <c r="E34" t="s">
        <v>249</v>
      </c>
      <c r="F34" t="s">
        <v>274</v>
      </c>
    </row>
    <row r="35" spans="1:36">
      <c r="A35" s="5">
        <v>46113</v>
      </c>
      <c r="B35" t="s">
        <v>21</v>
      </c>
      <c r="C35" s="2">
        <v>89.86</v>
      </c>
      <c r="D35" s="2" t="s">
        <v>21</v>
      </c>
      <c r="E35" t="s">
        <v>249</v>
      </c>
      <c r="F35" t="s">
        <v>274</v>
      </c>
    </row>
    <row r="36" spans="1:36">
      <c r="A36" s="5">
        <v>46114</v>
      </c>
      <c r="B36" t="s">
        <v>206</v>
      </c>
      <c r="C36" s="2">
        <v>24.13</v>
      </c>
      <c r="D36" s="2" t="s">
        <v>322</v>
      </c>
      <c r="E36" t="s">
        <v>249</v>
      </c>
      <c r="F36" t="s">
        <v>274</v>
      </c>
    </row>
    <row r="37" spans="1:36">
      <c r="A37" s="5">
        <v>46114</v>
      </c>
      <c r="B37" t="s">
        <v>21</v>
      </c>
      <c r="C37" s="2">
        <v>149.26</v>
      </c>
      <c r="D37" s="2" t="s">
        <v>21</v>
      </c>
      <c r="E37" t="s">
        <v>249</v>
      </c>
      <c r="F37" t="s">
        <v>274</v>
      </c>
    </row>
    <row r="38" spans="1:36">
      <c r="A38" s="5">
        <v>46115</v>
      </c>
      <c r="B38" t="s">
        <v>24</v>
      </c>
      <c r="C38" s="2">
        <v>27.94</v>
      </c>
      <c r="D38" s="2" t="s">
        <v>324</v>
      </c>
      <c r="E38" t="s">
        <v>249</v>
      </c>
      <c r="F38" t="s">
        <v>274</v>
      </c>
      <c r="K38" s="2"/>
    </row>
    <row r="39" spans="1:36">
      <c r="A39" s="5">
        <v>46115</v>
      </c>
      <c r="B39" t="s">
        <v>24</v>
      </c>
      <c r="C39" s="2">
        <v>0.99</v>
      </c>
      <c r="D39" s="2" t="s">
        <v>325</v>
      </c>
      <c r="E39" t="s">
        <v>249</v>
      </c>
      <c r="F39" t="s">
        <v>274</v>
      </c>
    </row>
    <row r="40" spans="1:36">
      <c r="A40" s="5">
        <v>46116</v>
      </c>
      <c r="B40" t="s">
        <v>24</v>
      </c>
      <c r="C40" s="2">
        <v>186.96</v>
      </c>
      <c r="D40" s="2" t="s">
        <v>324</v>
      </c>
      <c r="E40" t="s">
        <v>249</v>
      </c>
      <c r="F40" t="s">
        <v>274</v>
      </c>
    </row>
    <row r="41" spans="1:36">
      <c r="A41" s="5">
        <v>46117</v>
      </c>
      <c r="B41" t="s">
        <v>183</v>
      </c>
      <c r="C41" s="2">
        <v>82.38</v>
      </c>
      <c r="D41" s="2" t="s">
        <v>278</v>
      </c>
      <c r="E41" t="s">
        <v>249</v>
      </c>
      <c r="F41" t="s">
        <v>274</v>
      </c>
    </row>
    <row r="42" spans="1:36">
      <c r="A42" s="5">
        <v>46117</v>
      </c>
      <c r="B42" t="s">
        <v>21</v>
      </c>
      <c r="C42" s="2">
        <v>38.590000000000003</v>
      </c>
      <c r="D42" s="2" t="s">
        <v>326</v>
      </c>
      <c r="E42" t="s">
        <v>249</v>
      </c>
      <c r="F42" t="s">
        <v>274</v>
      </c>
    </row>
    <row r="43" spans="1:36">
      <c r="A43" s="5">
        <v>46117</v>
      </c>
      <c r="B43" t="s">
        <v>20</v>
      </c>
      <c r="C43" s="2">
        <v>48.95</v>
      </c>
      <c r="D43" s="2" t="s">
        <v>20</v>
      </c>
      <c r="E43" t="s">
        <v>249</v>
      </c>
      <c r="F43" t="s">
        <v>274</v>
      </c>
    </row>
    <row r="44" spans="1:36">
      <c r="A44" s="5">
        <v>46114</v>
      </c>
      <c r="B44" t="s">
        <v>206</v>
      </c>
      <c r="C44" s="2">
        <v>70.900000000000006</v>
      </c>
      <c r="D44" s="2" t="s">
        <v>322</v>
      </c>
      <c r="E44" t="s">
        <v>235</v>
      </c>
      <c r="F44" t="s">
        <v>274</v>
      </c>
    </row>
    <row r="45" spans="1:36">
      <c r="A45" s="5">
        <v>46117</v>
      </c>
      <c r="B45" t="s">
        <v>26</v>
      </c>
      <c r="C45" s="2">
        <v>755.84</v>
      </c>
      <c r="D45" s="2" t="s">
        <v>327</v>
      </c>
      <c r="E45" t="s">
        <v>235</v>
      </c>
      <c r="F45" t="s">
        <v>274</v>
      </c>
    </row>
    <row r="46" spans="1:36">
      <c r="A46" s="5">
        <v>46117</v>
      </c>
      <c r="B46" t="s">
        <v>26</v>
      </c>
      <c r="C46" s="2">
        <f>696.65/2</f>
        <v>348.32499999999999</v>
      </c>
      <c r="D46" s="2" t="s">
        <v>328</v>
      </c>
      <c r="E46" t="s">
        <v>235</v>
      </c>
      <c r="F46" t="s">
        <v>274</v>
      </c>
    </row>
    <row r="47" spans="1:36">
      <c r="A47" s="5">
        <v>46123</v>
      </c>
      <c r="B47" t="s">
        <v>26</v>
      </c>
      <c r="C47" s="2">
        <v>13.96</v>
      </c>
      <c r="D47" s="2" t="s">
        <v>329</v>
      </c>
      <c r="E47" t="s">
        <v>235</v>
      </c>
      <c r="F47" t="s">
        <v>274</v>
      </c>
    </row>
    <row r="48" spans="1:36">
      <c r="A48" s="5">
        <v>46123</v>
      </c>
      <c r="B48" t="s">
        <v>26</v>
      </c>
      <c r="C48" s="2">
        <v>61.04</v>
      </c>
      <c r="D48" s="27" t="s">
        <v>329</v>
      </c>
      <c r="E48" t="s">
        <v>235</v>
      </c>
      <c r="F48" t="s">
        <v>274</v>
      </c>
    </row>
    <row r="49" spans="1:6">
      <c r="A49" s="5">
        <v>46124</v>
      </c>
      <c r="B49" t="s">
        <v>26</v>
      </c>
      <c r="C49" s="2">
        <v>22.23</v>
      </c>
      <c r="D49" s="2" t="s">
        <v>330</v>
      </c>
      <c r="E49" t="s">
        <v>235</v>
      </c>
      <c r="F49" t="s">
        <v>274</v>
      </c>
    </row>
    <row r="50" spans="1:6">
      <c r="A50" s="5">
        <v>46125</v>
      </c>
      <c r="B50" t="s">
        <v>26</v>
      </c>
      <c r="C50" s="2">
        <v>29.6</v>
      </c>
      <c r="D50" s="2" t="s">
        <v>331</v>
      </c>
      <c r="E50" t="s">
        <v>235</v>
      </c>
      <c r="F50" t="s">
        <v>274</v>
      </c>
    </row>
    <row r="51" spans="1:6">
      <c r="A51" s="5">
        <v>46129</v>
      </c>
      <c r="B51" t="s">
        <v>24</v>
      </c>
      <c r="C51" s="2">
        <v>23</v>
      </c>
      <c r="D51" s="2" t="s">
        <v>332</v>
      </c>
      <c r="E51" t="s">
        <v>233</v>
      </c>
      <c r="F51" t="s">
        <v>274</v>
      </c>
    </row>
    <row r="52" spans="1:6">
      <c r="A52" s="5">
        <v>46119</v>
      </c>
      <c r="B52" t="s">
        <v>183</v>
      </c>
      <c r="C52" s="2">
        <v>6.45</v>
      </c>
      <c r="D52" s="2" t="s">
        <v>333</v>
      </c>
      <c r="E52" t="s">
        <v>249</v>
      </c>
      <c r="F52" t="s">
        <v>274</v>
      </c>
    </row>
    <row r="53" spans="1:6">
      <c r="A53" s="5">
        <v>46119</v>
      </c>
      <c r="B53" t="s">
        <v>18</v>
      </c>
      <c r="C53" s="2">
        <v>24.69</v>
      </c>
      <c r="D53" s="2" t="s">
        <v>334</v>
      </c>
      <c r="E53" t="s">
        <v>249</v>
      </c>
      <c r="F53" t="s">
        <v>274</v>
      </c>
    </row>
    <row r="54" spans="1:6">
      <c r="A54" s="5">
        <v>46119</v>
      </c>
      <c r="B54" t="s">
        <v>10</v>
      </c>
      <c r="C54" s="2">
        <v>3.24</v>
      </c>
      <c r="D54" s="2" t="s">
        <v>335</v>
      </c>
      <c r="E54" t="s">
        <v>249</v>
      </c>
      <c r="F54" t="s">
        <v>274</v>
      </c>
    </row>
    <row r="55" spans="1:6">
      <c r="A55" s="5">
        <v>46120</v>
      </c>
      <c r="B55" t="s">
        <v>20</v>
      </c>
      <c r="C55" s="2">
        <v>54.4</v>
      </c>
      <c r="D55" s="2" t="s">
        <v>20</v>
      </c>
      <c r="E55" t="s">
        <v>249</v>
      </c>
      <c r="F55" t="s">
        <v>274</v>
      </c>
    </row>
    <row r="56" spans="1:6">
      <c r="A56" s="5">
        <v>46120</v>
      </c>
      <c r="B56" t="s">
        <v>183</v>
      </c>
      <c r="C56" s="2">
        <v>44.32</v>
      </c>
      <c r="D56" s="2" t="s">
        <v>278</v>
      </c>
      <c r="E56" t="s">
        <v>249</v>
      </c>
      <c r="F56" t="s">
        <v>274</v>
      </c>
    </row>
    <row r="57" spans="1:6">
      <c r="A57" s="5">
        <v>46120</v>
      </c>
      <c r="B57" t="s">
        <v>18</v>
      </c>
      <c r="C57" s="2">
        <v>51.44</v>
      </c>
      <c r="D57" s="2" t="s">
        <v>336</v>
      </c>
      <c r="E57" t="s">
        <v>249</v>
      </c>
      <c r="F57" t="s">
        <v>274</v>
      </c>
    </row>
    <row r="58" spans="1:6">
      <c r="A58" s="5">
        <v>46122</v>
      </c>
      <c r="B58" t="s">
        <v>18</v>
      </c>
      <c r="C58" s="2">
        <v>28.86</v>
      </c>
      <c r="D58" s="2" t="s">
        <v>334</v>
      </c>
      <c r="E58" t="s">
        <v>249</v>
      </c>
      <c r="F58" t="s">
        <v>274</v>
      </c>
    </row>
    <row r="59" spans="1:6">
      <c r="A59" s="5">
        <v>46122</v>
      </c>
      <c r="B59" t="s">
        <v>14</v>
      </c>
      <c r="C59" s="2">
        <v>31.37</v>
      </c>
      <c r="D59" s="2" t="s">
        <v>337</v>
      </c>
      <c r="E59" t="s">
        <v>249</v>
      </c>
      <c r="F59" t="s">
        <v>274</v>
      </c>
    </row>
    <row r="60" spans="1:6">
      <c r="A60" s="5">
        <v>46123</v>
      </c>
      <c r="B60" t="s">
        <v>26</v>
      </c>
      <c r="C60" s="2">
        <v>8.94</v>
      </c>
      <c r="D60" s="2" t="s">
        <v>338</v>
      </c>
      <c r="E60" t="s">
        <v>249</v>
      </c>
      <c r="F60" t="s">
        <v>274</v>
      </c>
    </row>
    <row r="61" spans="1:6">
      <c r="A61" s="5">
        <v>46124</v>
      </c>
      <c r="B61" t="s">
        <v>24</v>
      </c>
      <c r="C61" s="2">
        <v>15.92</v>
      </c>
      <c r="D61" s="2" t="s">
        <v>339</v>
      </c>
      <c r="E61" t="s">
        <v>249</v>
      </c>
      <c r="F61" t="s">
        <v>274</v>
      </c>
    </row>
    <row r="62" spans="1:6">
      <c r="A62" s="5">
        <v>46125</v>
      </c>
      <c r="B62" t="s">
        <v>21</v>
      </c>
      <c r="C62" s="2">
        <v>65.069999999999993</v>
      </c>
      <c r="D62" s="2" t="s">
        <v>21</v>
      </c>
      <c r="E62" t="s">
        <v>249</v>
      </c>
      <c r="F62" t="s">
        <v>274</v>
      </c>
    </row>
    <row r="63" spans="1:6">
      <c r="A63" s="5">
        <v>46126</v>
      </c>
      <c r="B63" t="s">
        <v>20</v>
      </c>
      <c r="C63" s="2">
        <v>57.94</v>
      </c>
      <c r="D63" s="2" t="s">
        <v>20</v>
      </c>
      <c r="E63" t="s">
        <v>249</v>
      </c>
      <c r="F63" t="s">
        <v>274</v>
      </c>
    </row>
    <row r="64" spans="1:6">
      <c r="A64" s="5">
        <v>46126</v>
      </c>
      <c r="B64" t="s">
        <v>18</v>
      </c>
      <c r="C64" s="2">
        <v>18.440000000000001</v>
      </c>
      <c r="D64" s="2" t="s">
        <v>334</v>
      </c>
      <c r="E64" t="s">
        <v>249</v>
      </c>
      <c r="F64" t="s">
        <v>274</v>
      </c>
    </row>
    <row r="65" spans="1:6">
      <c r="A65" s="5">
        <v>46129</v>
      </c>
      <c r="B65" t="s">
        <v>183</v>
      </c>
      <c r="C65" s="2">
        <v>40</v>
      </c>
      <c r="D65" s="2" t="s">
        <v>340</v>
      </c>
      <c r="E65" t="s">
        <v>249</v>
      </c>
      <c r="F65" t="s">
        <v>274</v>
      </c>
    </row>
    <row r="66" spans="1:6">
      <c r="A66" s="5">
        <v>46129</v>
      </c>
      <c r="B66" t="s">
        <v>21</v>
      </c>
      <c r="C66" s="2">
        <v>73.709999999999994</v>
      </c>
      <c r="D66" s="2" t="s">
        <v>21</v>
      </c>
      <c r="E66" s="15" t="s">
        <v>249</v>
      </c>
      <c r="F66" t="s">
        <v>274</v>
      </c>
    </row>
    <row r="67" spans="1:6">
      <c r="A67" s="5">
        <v>46129</v>
      </c>
      <c r="B67" t="s">
        <v>21</v>
      </c>
      <c r="C67" s="2">
        <v>20.65</v>
      </c>
      <c r="D67" s="2" t="s">
        <v>21</v>
      </c>
      <c r="E67" t="s">
        <v>249</v>
      </c>
      <c r="F67" t="s">
        <v>274</v>
      </c>
    </row>
    <row r="68" spans="1:6">
      <c r="A68" s="5">
        <v>46129</v>
      </c>
      <c r="B68" t="s">
        <v>183</v>
      </c>
      <c r="C68" s="2">
        <v>12</v>
      </c>
      <c r="D68" s="2" t="s">
        <v>333</v>
      </c>
      <c r="E68" s="15" t="s">
        <v>249</v>
      </c>
      <c r="F68" t="s">
        <v>274</v>
      </c>
    </row>
    <row r="69" spans="1:6">
      <c r="A69" s="5">
        <v>46130</v>
      </c>
      <c r="B69" t="s">
        <v>21</v>
      </c>
      <c r="C69" s="2">
        <v>44.97</v>
      </c>
      <c r="D69" s="2" t="s">
        <v>21</v>
      </c>
      <c r="E69" t="s">
        <v>249</v>
      </c>
      <c r="F69" t="s">
        <v>274</v>
      </c>
    </row>
    <row r="70" spans="1:6">
      <c r="A70" s="5">
        <v>46130</v>
      </c>
      <c r="B70" t="s">
        <v>14</v>
      </c>
      <c r="C70" s="2">
        <v>35</v>
      </c>
      <c r="D70" s="2" t="s">
        <v>341</v>
      </c>
      <c r="E70" t="s">
        <v>249</v>
      </c>
      <c r="F70" t="s">
        <v>274</v>
      </c>
    </row>
    <row r="71" spans="1:6">
      <c r="A71" s="5">
        <v>46131</v>
      </c>
      <c r="B71" t="s">
        <v>21</v>
      </c>
      <c r="C71" s="2">
        <v>6.06</v>
      </c>
      <c r="D71" s="2" t="s">
        <v>342</v>
      </c>
      <c r="E71" t="s">
        <v>249</v>
      </c>
      <c r="F71" t="s">
        <v>274</v>
      </c>
    </row>
    <row r="76" spans="1:6">
      <c r="E76" s="15"/>
    </row>
    <row r="82" spans="2:4">
      <c r="B82" s="5"/>
      <c r="D82" s="5"/>
    </row>
    <row r="83" spans="2:4">
      <c r="B83" s="5"/>
      <c r="D83" s="5"/>
    </row>
    <row r="84" spans="2:4">
      <c r="B84" s="5"/>
      <c r="D84" s="5"/>
    </row>
    <row r="85" spans="2:4">
      <c r="B85" s="5"/>
      <c r="D85"/>
    </row>
    <row r="86" spans="2:4">
      <c r="D86"/>
    </row>
    <row r="87" spans="2:4">
      <c r="D87"/>
    </row>
    <row r="88" spans="2:4">
      <c r="D88"/>
    </row>
    <row r="89" spans="2:4">
      <c r="D89"/>
    </row>
    <row r="90" spans="2:4">
      <c r="D90"/>
    </row>
    <row r="91" spans="2:4">
      <c r="D91"/>
    </row>
    <row r="92" spans="2:4">
      <c r="D92"/>
    </row>
    <row r="93" spans="2:4">
      <c r="D93"/>
    </row>
    <row r="94" spans="2:4">
      <c r="D94"/>
    </row>
    <row r="95" spans="2:4">
      <c r="D95"/>
    </row>
    <row r="96" spans="2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10">
      <c r="D113"/>
      <c r="I113" t="s">
        <v>320</v>
      </c>
      <c r="J113">
        <f>345.79-120</f>
        <v>225.79000000000002</v>
      </c>
    </row>
    <row r="114" spans="4:10">
      <c r="D114"/>
      <c r="I114" t="s">
        <v>321</v>
      </c>
    </row>
    <row r="115" spans="4:10">
      <c r="D115"/>
    </row>
    <row r="116" spans="4:10">
      <c r="D116"/>
    </row>
    <row r="117" spans="4:10">
      <c r="D117"/>
    </row>
    <row r="118" spans="4:10">
      <c r="D118"/>
    </row>
    <row r="119" spans="4:10">
      <c r="D119"/>
    </row>
    <row r="120" spans="4:10">
      <c r="D120"/>
    </row>
    <row r="121" spans="4:10">
      <c r="D121"/>
    </row>
    <row r="122" spans="4:10">
      <c r="D122"/>
    </row>
    <row r="123" spans="4:10">
      <c r="D123"/>
    </row>
    <row r="124" spans="4:10">
      <c r="D124"/>
    </row>
    <row r="125" spans="4:10">
      <c r="D125"/>
    </row>
    <row r="126" spans="4:10">
      <c r="D126"/>
    </row>
    <row r="127" spans="4:10">
      <c r="D127"/>
    </row>
    <row r="128" spans="4:10">
      <c r="D128"/>
    </row>
    <row r="129" spans="4:4">
      <c r="D129" s="5"/>
    </row>
    <row r="130" spans="4:4">
      <c r="D130" s="5"/>
    </row>
    <row r="131" spans="4:4">
      <c r="D131" s="5"/>
    </row>
  </sheetData>
  <dataValidations count="3">
    <dataValidation type="list" allowBlank="1" showInputMessage="1" showErrorMessage="1" sqref="B31:B1048576" xr:uid="{354BE57A-AA85-4DE8-8E89-A8237E053336}">
      <formula1>$AJ$4:$AJ$33</formula1>
    </dataValidation>
    <dataValidation allowBlank="1" showInputMessage="1" showErrorMessage="1" sqref="D31:D111 D113:D1048576" xr:uid="{0EFBA1C4-B6EE-4CAE-B9F5-5B14C54772D6}"/>
    <dataValidation type="list" allowBlank="1" showInputMessage="1" showErrorMessage="1" sqref="E31:E1048576" xr:uid="{ADA0837A-F0E0-4A46-8626-EA54E31BF9FA}">
      <formula1>"Chase, Amex, Costco, Sofi, SchoolsFirst"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2024-10-28T20:47:42Z</dcterms:created>
  <dcterms:modified xsi:type="dcterms:W3CDTF">2026-04-29T01:38:55Z</dcterms:modified>
  <cp:category/>
  <cp:contentStatus/>
</cp:coreProperties>
</file>